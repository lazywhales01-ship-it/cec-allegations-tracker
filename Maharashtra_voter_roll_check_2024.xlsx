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se seats" sheetId="1" state="visible" r:id="rId3"/>
    <sheet name="Lok Sabha seats" sheetId="2" state="visible" r:id="rId4"/>
    <sheet name="Assembly seats" sheetId="3" state="visible" r:id="rId5"/>
    <sheet name="Notes &amp; sources" sheetId="4" state="visible" r:id="rId6"/>
  </sheets>
  <definedNames>
    <definedName function="false" hidden="true" localSheetId="2" name="_xlnm._FilterDatabase" vbProcedure="false">'Assembly seats'!$A$1:$T$1</definedName>
    <definedName function="false" hidden="true" localSheetId="0" name="_xlnm._FilterDatabase" vbProcedure="false">'Close seats'!$A$1:$J$1</definedName>
    <definedName function="false" hidden="true" localSheetId="1" name="_xlnm._FilterDatabase" vbProcedure="false">'Lok Sabha seats'!$A$1:$H$1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<sst xmlns="http://schemas.openxmlformats.org/spreadsheetml/2006/main" count="2227" uniqueCount="401">
  <si>
    <t xml:space="preserve">AC no</t>
  </si>
  <si>
    <t xml:space="preserve">Assembly seat</t>
  </si>
  <si>
    <t xml:space="preserve">Lok Sabha seat</t>
  </si>
  <si>
    <t xml:space="preserve">Winner party</t>
  </si>
  <si>
    <t xml:space="preserve">Alliance</t>
  </si>
  <si>
    <t xml:space="preserve">Margin (votes)</t>
  </si>
  <si>
    <t xml:space="preserve">Margin %</t>
  </si>
  <si>
    <t xml:space="preserve">Voters added</t>
  </si>
  <si>
    <t xml:space="preserve">Added ÷ margin</t>
  </si>
  <si>
    <t xml:space="preserve">Added is actual (RTI)?</t>
  </si>
  <si>
    <t xml:space="preserve">Malegaon Central</t>
  </si>
  <si>
    <t xml:space="preserve">Dhule</t>
  </si>
  <si>
    <t xml:space="preserve">AIMIM</t>
  </si>
  <si>
    <t xml:space="preserve">Other</t>
  </si>
  <si>
    <t xml:space="preserve">No (estimated)</t>
  </si>
  <si>
    <t xml:space="preserve">Belapur</t>
  </si>
  <si>
    <t xml:space="preserve">Thane</t>
  </si>
  <si>
    <t xml:space="preserve">BJP</t>
  </si>
  <si>
    <t xml:space="preserve">Mahayuti</t>
  </si>
  <si>
    <t xml:space="preserve">Sakoli</t>
  </si>
  <si>
    <t xml:space="preserve">Bhandara-Gondiya</t>
  </si>
  <si>
    <t xml:space="preserve">INC</t>
  </si>
  <si>
    <t xml:space="preserve">MVA</t>
  </si>
  <si>
    <t xml:space="preserve">Ambegaon</t>
  </si>
  <si>
    <t xml:space="preserve">Shirur</t>
  </si>
  <si>
    <t xml:space="preserve">NCP</t>
  </si>
  <si>
    <t xml:space="preserve">Buldhana</t>
  </si>
  <si>
    <t xml:space="preserve">SHS</t>
  </si>
  <si>
    <t xml:space="preserve">Shahapur (ST)</t>
  </si>
  <si>
    <t xml:space="preserve">Bhiwandi</t>
  </si>
  <si>
    <t xml:space="preserve">Akola West</t>
  </si>
  <si>
    <t xml:space="preserve">Akola</t>
  </si>
  <si>
    <t xml:space="preserve">Karjat Jamkhed</t>
  </si>
  <si>
    <t xml:space="preserve">Ahmednagar</t>
  </si>
  <si>
    <t xml:space="preserve">NCP(SP)</t>
  </si>
  <si>
    <t xml:space="preserve">Navapur (ST)</t>
  </si>
  <si>
    <t xml:space="preserve">Nandurbar</t>
  </si>
  <si>
    <t xml:space="preserve">Parner</t>
  </si>
  <si>
    <t xml:space="preserve">Vasai</t>
  </si>
  <si>
    <t xml:space="preserve">Palghar</t>
  </si>
  <si>
    <t xml:space="preserve">Aurangabad East</t>
  </si>
  <si>
    <t xml:space="preserve">Aurangabad</t>
  </si>
  <si>
    <t xml:space="preserve">Jogeshwari East</t>
  </si>
  <si>
    <t xml:space="preserve">Mumbai North West</t>
  </si>
  <si>
    <t xml:space="preserve">SS(UBT)</t>
  </si>
  <si>
    <t xml:space="preserve">Karvir</t>
  </si>
  <si>
    <t xml:space="preserve">Kolhapur</t>
  </si>
  <si>
    <t xml:space="preserve">Versova</t>
  </si>
  <si>
    <t xml:space="preserve">Sillod</t>
  </si>
  <si>
    <t xml:space="preserve">Jalna</t>
  </si>
  <si>
    <t xml:space="preserve">Vadgaon Sheri</t>
  </si>
  <si>
    <t xml:space="preserve">Pune</t>
  </si>
  <si>
    <t xml:space="preserve">Hadapsar</t>
  </si>
  <si>
    <t xml:space="preserve">Paranda</t>
  </si>
  <si>
    <t xml:space="preserve">Osmanabad</t>
  </si>
  <si>
    <t xml:space="preserve">Kaij (SC)</t>
  </si>
  <si>
    <t xml:space="preserve">Beed</t>
  </si>
  <si>
    <t xml:space="preserve">Ghansawangi</t>
  </si>
  <si>
    <t xml:space="preserve">Parbhani</t>
  </si>
  <si>
    <t xml:space="preserve">Nagpur West</t>
  </si>
  <si>
    <t xml:space="preserve">Nagpur</t>
  </si>
  <si>
    <t xml:space="preserve">Nanded South</t>
  </si>
  <si>
    <t xml:space="preserve">Nanded</t>
  </si>
  <si>
    <t xml:space="preserve">Dahanu (ST)</t>
  </si>
  <si>
    <t xml:space="preserve">CPI(M)</t>
  </si>
  <si>
    <t xml:space="preserve">Akkalkuwa (ST)</t>
  </si>
  <si>
    <t xml:space="preserve">Ralegaon (ST)</t>
  </si>
  <si>
    <t xml:space="preserve">Yavatmal-Washim</t>
  </si>
  <si>
    <t xml:space="preserve">Rajura</t>
  </si>
  <si>
    <t xml:space="preserve">Chandrapur</t>
  </si>
  <si>
    <t xml:space="preserve">Amravati</t>
  </si>
  <si>
    <t xml:space="preserve">Karjat</t>
  </si>
  <si>
    <t xml:space="preserve">Maval</t>
  </si>
  <si>
    <t xml:space="preserve">Mahim</t>
  </si>
  <si>
    <t xml:space="preserve">Mumbai South Central</t>
  </si>
  <si>
    <t xml:space="preserve">Chikhli</t>
  </si>
  <si>
    <t xml:space="preserve">Jintur</t>
  </si>
  <si>
    <t xml:space="preserve">Uran</t>
  </si>
  <si>
    <t xml:space="preserve">Junnar</t>
  </si>
  <si>
    <t xml:space="preserve">IND</t>
  </si>
  <si>
    <t xml:space="preserve">Nanded North</t>
  </si>
  <si>
    <t xml:space="preserve">Gangapur</t>
  </si>
  <si>
    <t xml:space="preserve">Partur</t>
  </si>
  <si>
    <t xml:space="preserve">Pandharpur</t>
  </si>
  <si>
    <t xml:space="preserve">Solapur</t>
  </si>
  <si>
    <t xml:space="preserve">Sindkhed Raja</t>
  </si>
  <si>
    <t xml:space="preserve">Majalgaon</t>
  </si>
  <si>
    <t xml:space="preserve">Nevasa</t>
  </si>
  <si>
    <t xml:space="preserve">Shirdi</t>
  </si>
  <si>
    <t xml:space="preserve">Mehkar (SC)</t>
  </si>
  <si>
    <t xml:space="preserve">Nagpur Central</t>
  </si>
  <si>
    <t xml:space="preserve">Yes</t>
  </si>
  <si>
    <t xml:space="preserve">Sakri (ST)</t>
  </si>
  <si>
    <t xml:space="preserve">Kurla (SC)</t>
  </si>
  <si>
    <t xml:space="preserve">Mumbai North Central</t>
  </si>
  <si>
    <t xml:space="preserve">Guhagar</t>
  </si>
  <si>
    <t xml:space="preserve">Raigad</t>
  </si>
  <si>
    <t xml:space="preserve">Umarga (SC)</t>
  </si>
  <si>
    <t xml:space="preserve">Teosa</t>
  </si>
  <si>
    <t xml:space="preserve">Risod</t>
  </si>
  <si>
    <t xml:space="preserve">Aurangabad Central</t>
  </si>
  <si>
    <t xml:space="preserve">Malad West</t>
  </si>
  <si>
    <t xml:space="preserve">Mumbai North</t>
  </si>
  <si>
    <t xml:space="preserve">Dindoshi</t>
  </si>
  <si>
    <t xml:space="preserve">Nagpur South</t>
  </si>
  <si>
    <t xml:space="preserve">Latur City</t>
  </si>
  <si>
    <t xml:space="preserve">Latur</t>
  </si>
  <si>
    <t xml:space="preserve">Kinwat</t>
  </si>
  <si>
    <t xml:space="preserve">Hingoli</t>
  </si>
  <si>
    <t xml:space="preserve">Anushakti Nagar</t>
  </si>
  <si>
    <t xml:space="preserve">Latur Rural</t>
  </si>
  <si>
    <t xml:space="preserve">Pune Cantonment (SC)</t>
  </si>
  <si>
    <t xml:space="preserve">Akole (ST)</t>
  </si>
  <si>
    <t xml:space="preserve">Kalina</t>
  </si>
  <si>
    <t xml:space="preserve">Barshi</t>
  </si>
  <si>
    <t xml:space="preserve">Bhandup West</t>
  </si>
  <si>
    <t xml:space="preserve">Mumbai North East</t>
  </si>
  <si>
    <t xml:space="preserve">Wardha</t>
  </si>
  <si>
    <t xml:space="preserve">Daund</t>
  </si>
  <si>
    <t xml:space="preserve">Baramati</t>
  </si>
  <si>
    <t xml:space="preserve">Achalpur</t>
  </si>
  <si>
    <t xml:space="preserve">Bhor</t>
  </si>
  <si>
    <t xml:space="preserve">Kagal</t>
  </si>
  <si>
    <t xml:space="preserve">Yavatmal</t>
  </si>
  <si>
    <t xml:space="preserve">Kalyan East</t>
  </si>
  <si>
    <t xml:space="preserve">Kalyan</t>
  </si>
  <si>
    <t xml:space="preserve">Pathri</t>
  </si>
  <si>
    <t xml:space="preserve">Purandar</t>
  </si>
  <si>
    <t xml:space="preserve">Nalasopara</t>
  </si>
  <si>
    <t xml:space="preserve">Kalwan (ST)</t>
  </si>
  <si>
    <t xml:space="preserve">Dindori</t>
  </si>
  <si>
    <t xml:space="preserve">Aurangabad West (SC)</t>
  </si>
  <si>
    <t xml:space="preserve">Umred (SC)</t>
  </si>
  <si>
    <t xml:space="preserve">Ramtek</t>
  </si>
  <si>
    <t xml:space="preserve">Nagpur North (SC)</t>
  </si>
  <si>
    <t xml:space="preserve">Count of seats where voters added exceed margin (from Assembly seats sheet):</t>
  </si>
  <si>
    <t xml:space="preserve">…won by Mahayuti</t>
  </si>
  <si>
    <t xml:space="preserve">…won by MVA</t>
  </si>
  <si>
    <t xml:space="preserve">Stricter test: added × turnout &gt; margin</t>
  </si>
  <si>
    <t xml:space="preserve">This list is a static snapshot sorted by Added ÷ margin; the counts above recalculate from the Assembly seats sheet.</t>
  </si>
  <si>
    <t xml:space="preserve">Electors, LS May 2024 (ECI)</t>
  </si>
  <si>
    <t xml:space="preserve">Electors, VS Nov 2024 (sum of 6 ACs)</t>
  </si>
  <si>
    <t xml:space="preserve">Net change</t>
  </si>
  <si>
    <t xml:space="preserve">Change %</t>
  </si>
  <si>
    <t xml:space="preserve">Mahayuti wins (of 6)</t>
  </si>
  <si>
    <t xml:space="preserve">MVA wins (of 6)</t>
  </si>
  <si>
    <t xml:space="preserve">Avg winning margin %</t>
  </si>
  <si>
    <t xml:space="preserve">Gadchiroli-Chimur</t>
  </si>
  <si>
    <t xml:space="preserve">Hatkanangle</t>
  </si>
  <si>
    <t xml:space="preserve">Jalgaon</t>
  </si>
  <si>
    <t xml:space="preserve">Madha</t>
  </si>
  <si>
    <t xml:space="preserve">Mumbai South</t>
  </si>
  <si>
    <t xml:space="preserve">Nashik</t>
  </si>
  <si>
    <t xml:space="preserve">Ratnagiri-Sindhudurg</t>
  </si>
  <si>
    <t xml:space="preserve">Raver</t>
  </si>
  <si>
    <t xml:space="preserve">Sangli</t>
  </si>
  <si>
    <t xml:space="preserve">Satara</t>
  </si>
  <si>
    <t xml:space="preserve">Maharashtra total</t>
  </si>
  <si>
    <t xml:space="preserve">District</t>
  </si>
  <si>
    <t xml:space="preserve">Winner votes</t>
  </si>
  <si>
    <t xml:space="preserve">Runner-up votes</t>
  </si>
  <si>
    <t xml:space="preserve">Total votes polled</t>
  </si>
  <si>
    <t xml:space="preserve">Margin % of votes polled</t>
  </si>
  <si>
    <t xml:space="preserve">Turnout</t>
  </si>
  <si>
    <t xml:space="preserve">Lok Sabha seat elector growth %</t>
  </si>
  <si>
    <t xml:space="preserve">Electors, 30 Oct 2024 (CEO)</t>
  </si>
  <si>
    <t xml:space="preserve">Actual net added (RTI)</t>
  </si>
  <si>
    <t xml:space="preserve">Voters added (used)</t>
  </si>
  <si>
    <t xml:space="preserve">Added &gt; margin?</t>
  </si>
  <si>
    <t xml:space="preserve">Added × turnout &gt; margin?</t>
  </si>
  <si>
    <t xml:space="preserve">Votes source</t>
  </si>
  <si>
    <t xml:space="preserve">Wikipedia (reproducing ECI)</t>
  </si>
  <si>
    <t xml:space="preserve">Shahada (ST)</t>
  </si>
  <si>
    <t xml:space="preserve">Nandurbar (ST)</t>
  </si>
  <si>
    <t xml:space="preserve">Dhule Rural</t>
  </si>
  <si>
    <t xml:space="preserve">Dhule City</t>
  </si>
  <si>
    <t xml:space="preserve">Sindkheda</t>
  </si>
  <si>
    <t xml:space="preserve">Shirpur (ST)</t>
  </si>
  <si>
    <t xml:space="preserve">Chopda (ST)</t>
  </si>
  <si>
    <t xml:space="preserve">Bhusawal (SC)</t>
  </si>
  <si>
    <t xml:space="preserve">Jalgaon City</t>
  </si>
  <si>
    <t xml:space="preserve">Jalgaon Rural</t>
  </si>
  <si>
    <t xml:space="preserve">Amalner</t>
  </si>
  <si>
    <t xml:space="preserve">Erandol</t>
  </si>
  <si>
    <t xml:space="preserve">Chalisgaon</t>
  </si>
  <si>
    <t xml:space="preserve">Pachora</t>
  </si>
  <si>
    <t xml:space="preserve">Jamner</t>
  </si>
  <si>
    <t xml:space="preserve">Muktainagar</t>
  </si>
  <si>
    <t xml:space="preserve">Malkapur</t>
  </si>
  <si>
    <t xml:space="preserve">Khamgaon</t>
  </si>
  <si>
    <t xml:space="preserve">Jalgaon (Jamod)</t>
  </si>
  <si>
    <t xml:space="preserve">Akot</t>
  </si>
  <si>
    <t xml:space="preserve">Balapur</t>
  </si>
  <si>
    <t xml:space="preserve">Akola East</t>
  </si>
  <si>
    <t xml:space="preserve">Murtizapur (SC)</t>
  </si>
  <si>
    <t xml:space="preserve">Washim</t>
  </si>
  <si>
    <t xml:space="preserve">Washim (SC)</t>
  </si>
  <si>
    <t xml:space="preserve">Karanja</t>
  </si>
  <si>
    <t xml:space="preserve">Dhamangaon Railway</t>
  </si>
  <si>
    <t xml:space="preserve">Badnera</t>
  </si>
  <si>
    <t xml:space="preserve">RYSP</t>
  </si>
  <si>
    <t xml:space="preserve">Daryapur (SC)</t>
  </si>
  <si>
    <t xml:space="preserve">Melghat (ST)</t>
  </si>
  <si>
    <t xml:space="preserve">Morshi</t>
  </si>
  <si>
    <t xml:space="preserve">Arvi</t>
  </si>
  <si>
    <t xml:space="preserve">Deoli</t>
  </si>
  <si>
    <t xml:space="preserve">Hinganghat</t>
  </si>
  <si>
    <t xml:space="preserve">Katol</t>
  </si>
  <si>
    <t xml:space="preserve">Savner</t>
  </si>
  <si>
    <t xml:space="preserve">Hingna</t>
  </si>
  <si>
    <t xml:space="preserve">Nagpur South West</t>
  </si>
  <si>
    <t xml:space="preserve">Nagpur East</t>
  </si>
  <si>
    <t xml:space="preserve">Kamthi</t>
  </si>
  <si>
    <t xml:space="preserve">Tumsar</t>
  </si>
  <si>
    <t xml:space="preserve">Bhandara</t>
  </si>
  <si>
    <t xml:space="preserve">Bhandara (SC)</t>
  </si>
  <si>
    <t xml:space="preserve">Arjuni Morgaon (SC)</t>
  </si>
  <si>
    <t xml:space="preserve">Gondia</t>
  </si>
  <si>
    <t xml:space="preserve">Tirora</t>
  </si>
  <si>
    <t xml:space="preserve">Gondiya</t>
  </si>
  <si>
    <t xml:space="preserve">Amgaon (ST)</t>
  </si>
  <si>
    <t xml:space="preserve">Armori (ST)</t>
  </si>
  <si>
    <t xml:space="preserve">Gadchiroli</t>
  </si>
  <si>
    <t xml:space="preserve">Gadchiroli (ST)</t>
  </si>
  <si>
    <t xml:space="preserve">Aheri (ST)</t>
  </si>
  <si>
    <t xml:space="preserve">Chandrapur (SC)</t>
  </si>
  <si>
    <t xml:space="preserve">Ballarpur</t>
  </si>
  <si>
    <t xml:space="preserve">Brahmapuri</t>
  </si>
  <si>
    <t xml:space="preserve">Chimur</t>
  </si>
  <si>
    <t xml:space="preserve">Warora</t>
  </si>
  <si>
    <t xml:space="preserve">Wani</t>
  </si>
  <si>
    <t xml:space="preserve">Digras</t>
  </si>
  <si>
    <t xml:space="preserve">Arni (ST)</t>
  </si>
  <si>
    <t xml:space="preserve">Pusad</t>
  </si>
  <si>
    <t xml:space="preserve">Umarkhed (SC)</t>
  </si>
  <si>
    <t xml:space="preserve">Hadgaon</t>
  </si>
  <si>
    <t xml:space="preserve">Bhokar</t>
  </si>
  <si>
    <t xml:space="preserve">Loha</t>
  </si>
  <si>
    <t xml:space="preserve">Naigaon</t>
  </si>
  <si>
    <t xml:space="preserve">Deglur (SC)</t>
  </si>
  <si>
    <t xml:space="preserve">Mukhed</t>
  </si>
  <si>
    <t xml:space="preserve">Basmath</t>
  </si>
  <si>
    <t xml:space="preserve">Kalamnuri</t>
  </si>
  <si>
    <t xml:space="preserve">Gangakhed</t>
  </si>
  <si>
    <t xml:space="preserve">RSPS</t>
  </si>
  <si>
    <t xml:space="preserve">Badnapur (SC)</t>
  </si>
  <si>
    <t xml:space="preserve">Bhokardan</t>
  </si>
  <si>
    <t xml:space="preserve">Kannad</t>
  </si>
  <si>
    <t xml:space="preserve">Phulambri</t>
  </si>
  <si>
    <t xml:space="preserve">Paithan</t>
  </si>
  <si>
    <t xml:space="preserve">Vaijapur</t>
  </si>
  <si>
    <t xml:space="preserve">Nandgaon</t>
  </si>
  <si>
    <t xml:space="preserve">Malegaon Outer</t>
  </si>
  <si>
    <t xml:space="preserve">Baglan (ST)</t>
  </si>
  <si>
    <t xml:space="preserve">Chandwad</t>
  </si>
  <si>
    <t xml:space="preserve">Yevla</t>
  </si>
  <si>
    <t xml:space="preserve">Sinnar</t>
  </si>
  <si>
    <t xml:space="preserve">Niphad</t>
  </si>
  <si>
    <t xml:space="preserve">Dindori (ST)</t>
  </si>
  <si>
    <t xml:space="preserve">Nashik East</t>
  </si>
  <si>
    <t xml:space="preserve">Nashik Central</t>
  </si>
  <si>
    <t xml:space="preserve">Nashik West</t>
  </si>
  <si>
    <t xml:space="preserve">Deolali (SC)</t>
  </si>
  <si>
    <t xml:space="preserve">Igatpuri (ST)</t>
  </si>
  <si>
    <t xml:space="preserve">Vikramgad (ST)</t>
  </si>
  <si>
    <t xml:space="preserve">Palghar (ST)</t>
  </si>
  <si>
    <t xml:space="preserve">Boisar (ST)</t>
  </si>
  <si>
    <t xml:space="preserve">Bhiwandi Rural (ST)</t>
  </si>
  <si>
    <t xml:space="preserve">Bhiwandi West</t>
  </si>
  <si>
    <t xml:space="preserve">Bhiwandi East</t>
  </si>
  <si>
    <t xml:space="preserve">SP</t>
  </si>
  <si>
    <t xml:space="preserve">Kalyan West</t>
  </si>
  <si>
    <t xml:space="preserve">Murbad</t>
  </si>
  <si>
    <t xml:space="preserve">Ambarnath (SC)</t>
  </si>
  <si>
    <t xml:space="preserve">Ulhasnagar</t>
  </si>
  <si>
    <t xml:space="preserve">Dombivali</t>
  </si>
  <si>
    <t xml:space="preserve">Kalyan Rural</t>
  </si>
  <si>
    <t xml:space="preserve">Mira Bhayandar</t>
  </si>
  <si>
    <t xml:space="preserve">Ovala-Majiwada</t>
  </si>
  <si>
    <t xml:space="preserve">Kopri-Pachpakhadi</t>
  </si>
  <si>
    <t xml:space="preserve">Mumbra-Kalwa</t>
  </si>
  <si>
    <t xml:space="preserve">Airoli</t>
  </si>
  <si>
    <t xml:space="preserve">Borivali</t>
  </si>
  <si>
    <t xml:space="preserve">Mumbai Suburban</t>
  </si>
  <si>
    <t xml:space="preserve">Dahisar</t>
  </si>
  <si>
    <t xml:space="preserve">Magathane</t>
  </si>
  <si>
    <t xml:space="preserve">Mulund</t>
  </si>
  <si>
    <t xml:space="preserve">Vikhroli</t>
  </si>
  <si>
    <t xml:space="preserve">Kandivali East</t>
  </si>
  <si>
    <t xml:space="preserve">Charkop</t>
  </si>
  <si>
    <t xml:space="preserve">Goregaon</t>
  </si>
  <si>
    <t xml:space="preserve">Andheri West</t>
  </si>
  <si>
    <t xml:space="preserve">Andheri East</t>
  </si>
  <si>
    <t xml:space="preserve">Vile Parle</t>
  </si>
  <si>
    <t xml:space="preserve">ECI results site</t>
  </si>
  <si>
    <t xml:space="preserve">Chandivali</t>
  </si>
  <si>
    <t xml:space="preserve">Ghatkopar West</t>
  </si>
  <si>
    <t xml:space="preserve">Ghatkopar East</t>
  </si>
  <si>
    <t xml:space="preserve">Mankhurd Shivaji Nagar</t>
  </si>
  <si>
    <t xml:space="preserve">Chembur</t>
  </si>
  <si>
    <t xml:space="preserve">Vandre East</t>
  </si>
  <si>
    <t xml:space="preserve">Vandre West</t>
  </si>
  <si>
    <t xml:space="preserve">Dharavi (SC)</t>
  </si>
  <si>
    <t xml:space="preserve">Mumbai City</t>
  </si>
  <si>
    <t xml:space="preserve">Sion Koliwada</t>
  </si>
  <si>
    <t xml:space="preserve">Wadala</t>
  </si>
  <si>
    <t xml:space="preserve">Worli</t>
  </si>
  <si>
    <t xml:space="preserve">Shivadi</t>
  </si>
  <si>
    <t xml:space="preserve">Byculla</t>
  </si>
  <si>
    <t xml:space="preserve">Malabar Hill</t>
  </si>
  <si>
    <t xml:space="preserve">Mumbadevi</t>
  </si>
  <si>
    <t xml:space="preserve">Colaba</t>
  </si>
  <si>
    <t xml:space="preserve">Panvel</t>
  </si>
  <si>
    <t xml:space="preserve">Pen</t>
  </si>
  <si>
    <t xml:space="preserve">Alibag</t>
  </si>
  <si>
    <t xml:space="preserve">Shrivardhan</t>
  </si>
  <si>
    <t xml:space="preserve">Mahad</t>
  </si>
  <si>
    <t xml:space="preserve">Khed Alandi</t>
  </si>
  <si>
    <t xml:space="preserve">Indapur</t>
  </si>
  <si>
    <t xml:space="preserve">Chinchwad</t>
  </si>
  <si>
    <t xml:space="preserve">Pimpri (SC)</t>
  </si>
  <si>
    <t xml:space="preserve">Bhosari</t>
  </si>
  <si>
    <t xml:space="preserve">Shivajinagar</t>
  </si>
  <si>
    <t xml:space="preserve">Kothrud</t>
  </si>
  <si>
    <t xml:space="preserve">Khadakwasala</t>
  </si>
  <si>
    <t xml:space="preserve">Parvati</t>
  </si>
  <si>
    <t xml:space="preserve">Kasba Peth</t>
  </si>
  <si>
    <t xml:space="preserve">Sangamner</t>
  </si>
  <si>
    <t xml:space="preserve">Kopargaon</t>
  </si>
  <si>
    <t xml:space="preserve">Shrirampur (SC)</t>
  </si>
  <si>
    <t xml:space="preserve">Shevgaon</t>
  </si>
  <si>
    <t xml:space="preserve">Rahuri</t>
  </si>
  <si>
    <t xml:space="preserve">Ahmednagar City</t>
  </si>
  <si>
    <t xml:space="preserve">Shrigonda</t>
  </si>
  <si>
    <t xml:space="preserve">Georai</t>
  </si>
  <si>
    <t xml:space="preserve">Ashti</t>
  </si>
  <si>
    <t xml:space="preserve">Parli</t>
  </si>
  <si>
    <t xml:space="preserve">Ahmadpur</t>
  </si>
  <si>
    <t xml:space="preserve">Udgir (SC)</t>
  </si>
  <si>
    <t xml:space="preserve">Nilanga</t>
  </si>
  <si>
    <t xml:space="preserve">Ausa</t>
  </si>
  <si>
    <t xml:space="preserve">Dharashiv</t>
  </si>
  <si>
    <t xml:space="preserve">Tuljapur</t>
  </si>
  <si>
    <t xml:space="preserve">Karmala</t>
  </si>
  <si>
    <t xml:space="preserve">Mohol (SC)</t>
  </si>
  <si>
    <t xml:space="preserve">Solapur City North</t>
  </si>
  <si>
    <t xml:space="preserve">Solapur City Central</t>
  </si>
  <si>
    <t xml:space="preserve">Akkalkot</t>
  </si>
  <si>
    <t xml:space="preserve">Solapur South</t>
  </si>
  <si>
    <t xml:space="preserve">Sangole</t>
  </si>
  <si>
    <t xml:space="preserve">PWPI</t>
  </si>
  <si>
    <t xml:space="preserve">Malshiras (SC)</t>
  </si>
  <si>
    <t xml:space="preserve">Phaltan (SC)</t>
  </si>
  <si>
    <t xml:space="preserve">Wai</t>
  </si>
  <si>
    <t xml:space="preserve">Koregaon</t>
  </si>
  <si>
    <t xml:space="preserve">Man</t>
  </si>
  <si>
    <t xml:space="preserve">Karad North</t>
  </si>
  <si>
    <t xml:space="preserve">Karad South</t>
  </si>
  <si>
    <t xml:space="preserve">Patan</t>
  </si>
  <si>
    <t xml:space="preserve">Dapoli</t>
  </si>
  <si>
    <t xml:space="preserve">Ratnagiri</t>
  </si>
  <si>
    <t xml:space="preserve">Chiplun</t>
  </si>
  <si>
    <t xml:space="preserve">Rajapur</t>
  </si>
  <si>
    <t xml:space="preserve">Kankavli</t>
  </si>
  <si>
    <t xml:space="preserve">Sindhudurg</t>
  </si>
  <si>
    <t xml:space="preserve">Kudal</t>
  </si>
  <si>
    <t xml:space="preserve">Sawantwadi</t>
  </si>
  <si>
    <t xml:space="preserve">Chandgad</t>
  </si>
  <si>
    <t xml:space="preserve">Radhanagari</t>
  </si>
  <si>
    <t xml:space="preserve">Kolhapur South</t>
  </si>
  <si>
    <t xml:space="preserve">Kolhapur North</t>
  </si>
  <si>
    <t xml:space="preserve">Shahuwadi</t>
  </si>
  <si>
    <t xml:space="preserve">JSS</t>
  </si>
  <si>
    <t xml:space="preserve">Hatkanangle (SC)</t>
  </si>
  <si>
    <t xml:space="preserve">Ichalkaranji</t>
  </si>
  <si>
    <t xml:space="preserve">Shirol</t>
  </si>
  <si>
    <t xml:space="preserve">RSVA</t>
  </si>
  <si>
    <t xml:space="preserve">Miraj (SC)</t>
  </si>
  <si>
    <t xml:space="preserve">Islampur</t>
  </si>
  <si>
    <t xml:space="preserve">Shirala</t>
  </si>
  <si>
    <t xml:space="preserve">Palus-Kadegaon</t>
  </si>
  <si>
    <t xml:space="preserve">Khanapur</t>
  </si>
  <si>
    <t xml:space="preserve">Tasgaon-Kavathe Mahankal</t>
  </si>
  <si>
    <t xml:space="preserve">Jat</t>
  </si>
  <si>
    <t xml:space="preserve">Maharashtra voter-roll check, 2024 (prepared 11 Oct 2026)</t>
  </si>
  <si>
    <t xml:space="preserve">Colour key: blue = hardcoded source data; black = formula; green = formula pulling from another sheet.</t>
  </si>
  <si>
    <t xml:space="preserve">Definitions</t>
  </si>
  <si>
    <t xml:space="preserve">Margin = winner votes − runner-up votes. Margin % = margin ÷ total votes polled (incl. NOTA).</t>
  </si>
  <si>
    <t xml:space="preserve">Lok Sabha seat elector growth % = (sum of its 6 assembly seats' general electors on 30 Oct 2024 − LS May 2024 electors) ÷ LS May 2024 electors.</t>
  </si>
  <si>
    <t xml:space="preserve">Voters added (used) = actual RTI net addition where available (5 seats); otherwise Electors 30 Oct 2024 × g ÷ (1+g), applying the Lok Sabha seat growth rate g to each of its assembly seats.</t>
  </si>
  <si>
    <t xml:space="preserve">Alliance: Mahayuti = BJP, Shiv Sena (SHS), NCP. MVA = INC, Shiv Sena (UBT), NCP (SP). Others = all remaining winners.</t>
  </si>
  <si>
    <t xml:space="preserve">Limitations</t>
  </si>
  <si>
    <t xml:space="preserve">Official Lok Sabha 2024 electors per assembly segment were not retrievable; 283 of 288 "voters added" values are estimates.</t>
  </si>
  <si>
    <t xml:space="preserve">Net additions are not votes. Added voters did not all vote, nor all for the winner. A "Yes" flags seats where additions were large enough to matter, not seats they decided.</t>
  </si>
  <si>
    <t xml:space="preserve">Sources</t>
  </si>
  <si>
    <t xml:space="preserve">Lok Sabha 2024 electors by seat: ECI voter-turnout data, phases 1–5 — https://data.opencity.in/dataset/parliament-elections-2024-voter-turnout (source: eci.gov.in)</t>
  </si>
  <si>
    <t xml:space="preserve">Assembly electors, 30 Oct 2024: CEO Maharashtra — https://data.opencity.in/dataset/maharashtra-assembly-elections-2024 (source: ceoelection.maharashtra.gov.in)</t>
  </si>
  <si>
    <t xml:space="preserve">Winners: Gazette list of winning candidates — https://data.opencity.in/dataset/maharashtra-assembly-elections-2024-results ; party totals match https://results.eci.gov.in/ResultAcGenNov2024/partywiseresult-S13.htm</t>
  </si>
  <si>
    <t xml:space="preserve">Votes: ECI constituency pages (results.eci.gov.in/ResultAcGenNov2024/ConstituencywiseS13&lt;AC&gt;.htm) for 50 seats; Wikipedia constituency pages reproducing ECI results for the rest (see "Votes source" column).</t>
  </si>
  <si>
    <t xml:space="preserve">RTI-based assembly figures (Dombivali, Kalyan West, Kalyan East, Nagpur South West, Nagpur Central): The Wire — https://m.thewire.in/article/government/maharashtra-assembly-polls-2024-voter-surge/amp</t>
  </si>
  <si>
    <t xml:space="preserve">Assembly-to-Lok-Sabha mapping: Delimitation of Parliamentary and Assembly Constituencies Order, 2008.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</si>
</sst>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.0\x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D4A5C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3D4A5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4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114</v>
      </c>
      <c r="B2" s="2" t="s">
        <v>10</v>
      </c>
      <c r="C2" s="2" t="s">
        <v>11</v>
      </c>
      <c r="D2" s="2" t="s">
        <v>12</v>
      </c>
      <c r="E2" s="2" t="s">
        <v>13</v>
      </c>
      <c r="F2" s="3" t="n">
        <f aca="false">'Assembly seats'!J115</f>
        <v>162</v>
      </c>
      <c r="G2" s="4" t="n">
        <f aca="false">'Assembly seats'!K115</f>
        <v>0.000674575579531212</v>
      </c>
      <c r="H2" s="3" t="n">
        <f aca="false">'Assembly seats'!P115</f>
        <v>18483</v>
      </c>
      <c r="I2" s="5" t="n">
        <f aca="false">H2/F2</f>
        <v>114.092592592593</v>
      </c>
      <c r="J2" s="2" t="s">
        <v>14</v>
      </c>
    </row>
    <row r="3" customFormat="false" ht="15" hidden="false" customHeight="false" outlineLevel="0" collapsed="false">
      <c r="A3" s="2" t="n">
        <v>151</v>
      </c>
      <c r="B3" s="2" t="s">
        <v>15</v>
      </c>
      <c r="C3" s="2" t="s">
        <v>16</v>
      </c>
      <c r="D3" s="2" t="s">
        <v>17</v>
      </c>
      <c r="E3" s="2" t="s">
        <v>18</v>
      </c>
      <c r="F3" s="3" t="n">
        <f aca="false">'Assembly seats'!J152</f>
        <v>377</v>
      </c>
      <c r="G3" s="4" t="n">
        <f aca="false">'Assembly seats'!K152</f>
        <v>0.00160236657216813</v>
      </c>
      <c r="H3" s="3" t="n">
        <f aca="false">'Assembly seats'!P152</f>
        <v>28220</v>
      </c>
      <c r="I3" s="5" t="n">
        <f aca="false">H3/F3</f>
        <v>74.8541114058355</v>
      </c>
      <c r="J3" s="2" t="s">
        <v>14</v>
      </c>
    </row>
    <row r="4" customFormat="false" ht="15" hidden="false" customHeight="false" outlineLevel="0" collapsed="false">
      <c r="A4" s="2" t="n">
        <v>62</v>
      </c>
      <c r="B4" s="2" t="s">
        <v>19</v>
      </c>
      <c r="C4" s="2" t="s">
        <v>20</v>
      </c>
      <c r="D4" s="2" t="s">
        <v>21</v>
      </c>
      <c r="E4" s="2" t="s">
        <v>22</v>
      </c>
      <c r="F4" s="3" t="n">
        <f aca="false">'Assembly seats'!J63</f>
        <v>208</v>
      </c>
      <c r="G4" s="4" t="n">
        <f aca="false">'Assembly seats'!K63</f>
        <v>0.000882754874249871</v>
      </c>
      <c r="H4" s="3" t="n">
        <f aca="false">'Assembly seats'!P63</f>
        <v>7944</v>
      </c>
      <c r="I4" s="5" t="n">
        <f aca="false">H4/F4</f>
        <v>38.1923076923077</v>
      </c>
      <c r="J4" s="2" t="s">
        <v>14</v>
      </c>
    </row>
    <row r="5" customFormat="false" ht="15" hidden="false" customHeight="false" outlineLevel="0" collapsed="false">
      <c r="A5" s="2" t="n">
        <v>196</v>
      </c>
      <c r="B5" s="2" t="s">
        <v>23</v>
      </c>
      <c r="C5" s="2" t="s">
        <v>24</v>
      </c>
      <c r="D5" s="2" t="s">
        <v>25</v>
      </c>
      <c r="E5" s="2" t="s">
        <v>18</v>
      </c>
      <c r="F5" s="3" t="n">
        <f aca="false">'Assembly seats'!J197</f>
        <v>1523</v>
      </c>
      <c r="G5" s="4" t="n">
        <f aca="false">'Assembly seats'!K197</f>
        <v>0.00684448239444532</v>
      </c>
      <c r="H5" s="3" t="n">
        <f aca="false">'Assembly seats'!P197</f>
        <v>20483</v>
      </c>
      <c r="I5" s="5" t="n">
        <f aca="false">H5/F5</f>
        <v>13.4491135915955</v>
      </c>
      <c r="J5" s="2" t="s">
        <v>14</v>
      </c>
    </row>
    <row r="6" customFormat="false" ht="15" hidden="false" customHeight="false" outlineLevel="0" collapsed="false">
      <c r="A6" s="2" t="n">
        <v>22</v>
      </c>
      <c r="B6" s="2" t="s">
        <v>26</v>
      </c>
      <c r="C6" s="2" t="s">
        <v>26</v>
      </c>
      <c r="D6" s="2" t="s">
        <v>27</v>
      </c>
      <c r="E6" s="2" t="s">
        <v>18</v>
      </c>
      <c r="F6" s="3" t="n">
        <f aca="false">'Assembly seats'!J23</f>
        <v>841</v>
      </c>
      <c r="G6" s="4" t="n">
        <f aca="false">'Assembly seats'!K23</f>
        <v>0.00431784692950255</v>
      </c>
      <c r="H6" s="3" t="n">
        <f aca="false">'Assembly seats'!P23</f>
        <v>10549</v>
      </c>
      <c r="I6" s="5" t="n">
        <f aca="false">H6/F6</f>
        <v>12.5434007134364</v>
      </c>
      <c r="J6" s="2" t="s">
        <v>14</v>
      </c>
    </row>
    <row r="7" customFormat="false" ht="15" hidden="false" customHeight="false" outlineLevel="0" collapsed="false">
      <c r="A7" s="2" t="n">
        <v>135</v>
      </c>
      <c r="B7" s="2" t="s">
        <v>28</v>
      </c>
      <c r="C7" s="2" t="s">
        <v>29</v>
      </c>
      <c r="D7" s="2" t="s">
        <v>25</v>
      </c>
      <c r="E7" s="2" t="s">
        <v>18</v>
      </c>
      <c r="F7" s="3" t="n">
        <f aca="false">'Assembly seats'!J136</f>
        <v>1672</v>
      </c>
      <c r="G7" s="4" t="n">
        <f aca="false">'Assembly seats'!K136</f>
        <v>0.00808534096733948</v>
      </c>
      <c r="H7" s="3" t="n">
        <f aca="false">'Assembly seats'!P136</f>
        <v>20704</v>
      </c>
      <c r="I7" s="5" t="n">
        <f aca="false">H7/F7</f>
        <v>12.3827751196172</v>
      </c>
      <c r="J7" s="2" t="s">
        <v>14</v>
      </c>
    </row>
    <row r="8" customFormat="false" ht="15" hidden="false" customHeight="false" outlineLevel="0" collapsed="false">
      <c r="A8" s="2" t="n">
        <v>30</v>
      </c>
      <c r="B8" s="2" t="s">
        <v>30</v>
      </c>
      <c r="C8" s="2" t="s">
        <v>31</v>
      </c>
      <c r="D8" s="2" t="s">
        <v>21</v>
      </c>
      <c r="E8" s="2" t="s">
        <v>22</v>
      </c>
      <c r="F8" s="3" t="n">
        <f aca="false">'Assembly seats'!J31</f>
        <v>1283</v>
      </c>
      <c r="G8" s="4" t="n">
        <f aca="false">'Assembly seats'!K31</f>
        <v>0.00624884325777574</v>
      </c>
      <c r="H8" s="3" t="n">
        <f aca="false">'Assembly seats'!P31</f>
        <v>12777</v>
      </c>
      <c r="I8" s="5" t="n">
        <f aca="false">H8/F8</f>
        <v>9.95869056897896</v>
      </c>
      <c r="J8" s="2" t="s">
        <v>14</v>
      </c>
    </row>
    <row r="9" customFormat="false" ht="15" hidden="false" customHeight="false" outlineLevel="0" collapsed="false">
      <c r="A9" s="2" t="n">
        <v>227</v>
      </c>
      <c r="B9" s="2" t="s">
        <v>32</v>
      </c>
      <c r="C9" s="2" t="s">
        <v>33</v>
      </c>
      <c r="D9" s="2" t="s">
        <v>34</v>
      </c>
      <c r="E9" s="2" t="s">
        <v>22</v>
      </c>
      <c r="F9" s="3" t="n">
        <f aca="false">'Assembly seats'!J228</f>
        <v>1243</v>
      </c>
      <c r="G9" s="4" t="n">
        <f aca="false">'Assembly seats'!K228</f>
        <v>0.00472533738832922</v>
      </c>
      <c r="H9" s="3" t="n">
        <f aca="false">'Assembly seats'!P228</f>
        <v>11948</v>
      </c>
      <c r="I9" s="5" t="n">
        <f aca="false">H9/F9</f>
        <v>9.61222847948512</v>
      </c>
      <c r="J9" s="2" t="s">
        <v>14</v>
      </c>
    </row>
    <row r="10" customFormat="false" ht="15" hidden="false" customHeight="false" outlineLevel="0" collapsed="false">
      <c r="A10" s="2" t="n">
        <v>4</v>
      </c>
      <c r="B10" s="2" t="s">
        <v>35</v>
      </c>
      <c r="C10" s="2" t="s">
        <v>36</v>
      </c>
      <c r="D10" s="2" t="s">
        <v>21</v>
      </c>
      <c r="E10" s="2" t="s">
        <v>22</v>
      </c>
      <c r="F10" s="3" t="n">
        <f aca="false">'Assembly seats'!J5</f>
        <v>1121</v>
      </c>
      <c r="G10" s="4" t="n">
        <f aca="false">'Assembly seats'!K5</f>
        <v>0.00464778805091422</v>
      </c>
      <c r="H10" s="3" t="n">
        <f aca="false">'Assembly seats'!P5</f>
        <v>9828</v>
      </c>
      <c r="I10" s="5" t="n">
        <f aca="false">H10/F10</f>
        <v>8.7671721677074</v>
      </c>
      <c r="J10" s="2" t="s">
        <v>14</v>
      </c>
    </row>
    <row r="11" customFormat="false" ht="15" hidden="false" customHeight="false" outlineLevel="0" collapsed="false">
      <c r="A11" s="2" t="n">
        <v>224</v>
      </c>
      <c r="B11" s="2" t="s">
        <v>37</v>
      </c>
      <c r="C11" s="2" t="s">
        <v>33</v>
      </c>
      <c r="D11" s="2" t="s">
        <v>25</v>
      </c>
      <c r="E11" s="2" t="s">
        <v>18</v>
      </c>
      <c r="F11" s="3" t="n">
        <f aca="false">'Assembly seats'!J225</f>
        <v>1526</v>
      </c>
      <c r="G11" s="4" t="n">
        <f aca="false">'Assembly seats'!K225</f>
        <v>0.00613004041166877</v>
      </c>
      <c r="H11" s="3" t="n">
        <f aca="false">'Assembly seats'!P225</f>
        <v>12053</v>
      </c>
      <c r="I11" s="5" t="n">
        <f aca="false">H11/F11</f>
        <v>7.89842726081258</v>
      </c>
      <c r="J11" s="2" t="s">
        <v>14</v>
      </c>
    </row>
    <row r="12" customFormat="false" ht="15" hidden="false" customHeight="false" outlineLevel="0" collapsed="false">
      <c r="A12" s="2" t="n">
        <v>133</v>
      </c>
      <c r="B12" s="2" t="s">
        <v>38</v>
      </c>
      <c r="C12" s="2" t="s">
        <v>39</v>
      </c>
      <c r="D12" s="2" t="s">
        <v>17</v>
      </c>
      <c r="E12" s="2" t="s">
        <v>18</v>
      </c>
      <c r="F12" s="3" t="n">
        <f aca="false">'Assembly seats'!J134</f>
        <v>3153</v>
      </c>
      <c r="G12" s="4" t="n">
        <f aca="false">'Assembly seats'!K134</f>
        <v>0.0143841240875912</v>
      </c>
      <c r="H12" s="3" t="n">
        <f aca="false">'Assembly seats'!P134</f>
        <v>22212</v>
      </c>
      <c r="I12" s="5" t="n">
        <f aca="false">H12/F12</f>
        <v>7.04471931493815</v>
      </c>
      <c r="J12" s="2" t="s">
        <v>14</v>
      </c>
    </row>
    <row r="13" customFormat="false" ht="15" hidden="false" customHeight="false" outlineLevel="0" collapsed="false">
      <c r="A13" s="2" t="n">
        <v>109</v>
      </c>
      <c r="B13" s="2" t="s">
        <v>40</v>
      </c>
      <c r="C13" s="2" t="s">
        <v>41</v>
      </c>
      <c r="D13" s="2" t="s">
        <v>17</v>
      </c>
      <c r="E13" s="2" t="s">
        <v>18</v>
      </c>
      <c r="F13" s="3" t="n">
        <f aca="false">'Assembly seats'!J110</f>
        <v>2161</v>
      </c>
      <c r="G13" s="4" t="n">
        <f aca="false">'Assembly seats'!K110</f>
        <v>0.0099785744629763</v>
      </c>
      <c r="H13" s="3" t="n">
        <f aca="false">'Assembly seats'!P110</f>
        <v>14689</v>
      </c>
      <c r="I13" s="5" t="n">
        <f aca="false">H13/F13</f>
        <v>6.79731605738084</v>
      </c>
      <c r="J13" s="2" t="s">
        <v>14</v>
      </c>
    </row>
    <row r="14" customFormat="false" ht="15" hidden="false" customHeight="false" outlineLevel="0" collapsed="false">
      <c r="A14" s="2" t="n">
        <v>158</v>
      </c>
      <c r="B14" s="2" t="s">
        <v>42</v>
      </c>
      <c r="C14" s="2" t="s">
        <v>43</v>
      </c>
      <c r="D14" s="2" t="s">
        <v>44</v>
      </c>
      <c r="E14" s="2" t="s">
        <v>22</v>
      </c>
      <c r="F14" s="3" t="n">
        <f aca="false">'Assembly seats'!J159</f>
        <v>1541</v>
      </c>
      <c r="G14" s="4" t="n">
        <f aca="false">'Assembly seats'!K159</f>
        <v>0.00866465372310218</v>
      </c>
      <c r="H14" s="3" t="n">
        <f aca="false">'Assembly seats'!P159</f>
        <v>10417</v>
      </c>
      <c r="I14" s="5" t="n">
        <f aca="false">H14/F14</f>
        <v>6.75989617131733</v>
      </c>
      <c r="J14" s="2" t="s">
        <v>14</v>
      </c>
    </row>
    <row r="15" customFormat="false" ht="15" hidden="false" customHeight="false" outlineLevel="0" collapsed="false">
      <c r="A15" s="2" t="n">
        <v>275</v>
      </c>
      <c r="B15" s="2" t="s">
        <v>45</v>
      </c>
      <c r="C15" s="2" t="s">
        <v>46</v>
      </c>
      <c r="D15" s="2" t="s">
        <v>27</v>
      </c>
      <c r="E15" s="2" t="s">
        <v>18</v>
      </c>
      <c r="F15" s="3" t="n">
        <f aca="false">'Assembly seats'!J276</f>
        <v>1976</v>
      </c>
      <c r="G15" s="4" t="n">
        <f aca="false">'Assembly seats'!K276</f>
        <v>0.00708754335560744</v>
      </c>
      <c r="H15" s="3" t="n">
        <f aca="false">'Assembly seats'!P276</f>
        <v>12739</v>
      </c>
      <c r="I15" s="5" t="n">
        <f aca="false">H15/F15</f>
        <v>6.44686234817814</v>
      </c>
      <c r="J15" s="2" t="s">
        <v>14</v>
      </c>
    </row>
    <row r="16" customFormat="false" ht="15" hidden="false" customHeight="false" outlineLevel="0" collapsed="false">
      <c r="A16" s="2" t="n">
        <v>164</v>
      </c>
      <c r="B16" s="2" t="s">
        <v>47</v>
      </c>
      <c r="C16" s="2" t="s">
        <v>43</v>
      </c>
      <c r="D16" s="2" t="s">
        <v>44</v>
      </c>
      <c r="E16" s="2" t="s">
        <v>22</v>
      </c>
      <c r="F16" s="3" t="n">
        <f aca="false">'Assembly seats'!J165</f>
        <v>1600</v>
      </c>
      <c r="G16" s="4" t="n">
        <f aca="false">'Assembly seats'!K165</f>
        <v>0.0108165845282279</v>
      </c>
      <c r="H16" s="3" t="n">
        <f aca="false">'Assembly seats'!P165</f>
        <v>9988</v>
      </c>
      <c r="I16" s="5" t="n">
        <f aca="false">H16/F16</f>
        <v>6.2425</v>
      </c>
      <c r="J16" s="2" t="s">
        <v>14</v>
      </c>
    </row>
    <row r="17" customFormat="false" ht="15" hidden="false" customHeight="false" outlineLevel="0" collapsed="false">
      <c r="A17" s="2" t="n">
        <v>104</v>
      </c>
      <c r="B17" s="2" t="s">
        <v>48</v>
      </c>
      <c r="C17" s="2" t="s">
        <v>49</v>
      </c>
      <c r="D17" s="2" t="s">
        <v>27</v>
      </c>
      <c r="E17" s="2" t="s">
        <v>18</v>
      </c>
      <c r="F17" s="3" t="n">
        <f aca="false">'Assembly seats'!J105</f>
        <v>2420</v>
      </c>
      <c r="G17" s="4" t="n">
        <f aca="false">'Assembly seats'!K105</f>
        <v>0.00836545275420433</v>
      </c>
      <c r="H17" s="3" t="n">
        <f aca="false">'Assembly seats'!P105</f>
        <v>14917</v>
      </c>
      <c r="I17" s="5" t="n">
        <f aca="false">H17/F17</f>
        <v>6.16404958677686</v>
      </c>
      <c r="J17" s="2" t="s">
        <v>14</v>
      </c>
    </row>
    <row r="18" customFormat="false" ht="15" hidden="false" customHeight="false" outlineLevel="0" collapsed="false">
      <c r="A18" s="2" t="n">
        <v>208</v>
      </c>
      <c r="B18" s="2" t="s">
        <v>50</v>
      </c>
      <c r="C18" s="2" t="s">
        <v>51</v>
      </c>
      <c r="D18" s="2" t="s">
        <v>34</v>
      </c>
      <c r="E18" s="2" t="s">
        <v>22</v>
      </c>
      <c r="F18" s="3" t="n">
        <f aca="false">'Assembly seats'!J209</f>
        <v>4710</v>
      </c>
      <c r="G18" s="4" t="n">
        <f aca="false">'Assembly seats'!K209</f>
        <v>0.0165839814935442</v>
      </c>
      <c r="H18" s="3" t="n">
        <f aca="false">'Assembly seats'!P209</f>
        <v>27249</v>
      </c>
      <c r="I18" s="5" t="n">
        <f aca="false">H18/F18</f>
        <v>5.78535031847134</v>
      </c>
      <c r="J18" s="2" t="s">
        <v>14</v>
      </c>
    </row>
    <row r="19" customFormat="false" ht="15" hidden="false" customHeight="false" outlineLevel="0" collapsed="false">
      <c r="A19" s="2" t="n">
        <v>213</v>
      </c>
      <c r="B19" s="2" t="s">
        <v>52</v>
      </c>
      <c r="C19" s="2" t="s">
        <v>24</v>
      </c>
      <c r="D19" s="2" t="s">
        <v>25</v>
      </c>
      <c r="E19" s="2" t="s">
        <v>18</v>
      </c>
      <c r="F19" s="3" t="n">
        <f aca="false">'Assembly seats'!J214</f>
        <v>7122</v>
      </c>
      <c r="G19" s="4" t="n">
        <f aca="false">'Assembly seats'!K214</f>
        <v>0.0224331211394841</v>
      </c>
      <c r="H19" s="3" t="n">
        <f aca="false">'Assembly seats'!P214</f>
        <v>40781</v>
      </c>
      <c r="I19" s="5" t="n">
        <f aca="false">H19/F19</f>
        <v>5.7260600954788</v>
      </c>
      <c r="J19" s="2" t="s">
        <v>14</v>
      </c>
    </row>
    <row r="20" customFormat="false" ht="15" hidden="false" customHeight="false" outlineLevel="0" collapsed="false">
      <c r="A20" s="2" t="n">
        <v>243</v>
      </c>
      <c r="B20" s="2" t="s">
        <v>53</v>
      </c>
      <c r="C20" s="2" t="s">
        <v>54</v>
      </c>
      <c r="D20" s="2" t="s">
        <v>27</v>
      </c>
      <c r="E20" s="2" t="s">
        <v>18</v>
      </c>
      <c r="F20" s="3" t="n">
        <f aca="false">'Assembly seats'!J244</f>
        <v>1509</v>
      </c>
      <c r="G20" s="4" t="n">
        <f aca="false">'Assembly seats'!K244</f>
        <v>0.0064565817341634</v>
      </c>
      <c r="H20" s="3" t="n">
        <f aca="false">'Assembly seats'!P244</f>
        <v>8582</v>
      </c>
      <c r="I20" s="5" t="n">
        <f aca="false">H20/F20</f>
        <v>5.68721007289596</v>
      </c>
      <c r="J20" s="2" t="s">
        <v>14</v>
      </c>
    </row>
    <row r="21" customFormat="false" ht="15" hidden="false" customHeight="false" outlineLevel="0" collapsed="false">
      <c r="A21" s="2" t="n">
        <v>232</v>
      </c>
      <c r="B21" s="2" t="s">
        <v>55</v>
      </c>
      <c r="C21" s="2" t="s">
        <v>56</v>
      </c>
      <c r="D21" s="2" t="s">
        <v>17</v>
      </c>
      <c r="E21" s="2" t="s">
        <v>18</v>
      </c>
      <c r="F21" s="3" t="n">
        <f aca="false">'Assembly seats'!J233</f>
        <v>2687</v>
      </c>
      <c r="G21" s="4" t="n">
        <f aca="false">'Assembly seats'!K233</f>
        <v>0.010805181017947</v>
      </c>
      <c r="H21" s="3" t="n">
        <f aca="false">'Assembly seats'!P233</f>
        <v>14825</v>
      </c>
      <c r="I21" s="5" t="n">
        <f aca="false">H21/F21</f>
        <v>5.51730554521772</v>
      </c>
      <c r="J21" s="2" t="s">
        <v>14</v>
      </c>
    </row>
    <row r="22" customFormat="false" ht="15" hidden="false" customHeight="false" outlineLevel="0" collapsed="false">
      <c r="A22" s="2" t="n">
        <v>100</v>
      </c>
      <c r="B22" s="2" t="s">
        <v>57</v>
      </c>
      <c r="C22" s="2" t="s">
        <v>58</v>
      </c>
      <c r="D22" s="2" t="s">
        <v>27</v>
      </c>
      <c r="E22" s="2" t="s">
        <v>18</v>
      </c>
      <c r="F22" s="3" t="n">
        <f aca="false">'Assembly seats'!J101</f>
        <v>2309</v>
      </c>
      <c r="G22" s="4" t="n">
        <f aca="false">'Assembly seats'!K101</f>
        <v>0.00900897385875927</v>
      </c>
      <c r="H22" s="3" t="n">
        <f aca="false">'Assembly seats'!P101</f>
        <v>12533</v>
      </c>
      <c r="I22" s="5" t="n">
        <f aca="false">H22/F22</f>
        <v>5.42789086184495</v>
      </c>
      <c r="J22" s="2" t="s">
        <v>14</v>
      </c>
    </row>
    <row r="23" customFormat="false" ht="15" hidden="false" customHeight="false" outlineLevel="0" collapsed="false">
      <c r="A23" s="2" t="n">
        <v>56</v>
      </c>
      <c r="B23" s="2" t="s">
        <v>59</v>
      </c>
      <c r="C23" s="2" t="s">
        <v>60</v>
      </c>
      <c r="D23" s="2" t="s">
        <v>21</v>
      </c>
      <c r="E23" s="2" t="s">
        <v>22</v>
      </c>
      <c r="F23" s="3" t="n">
        <f aca="false">'Assembly seats'!J57</f>
        <v>5824</v>
      </c>
      <c r="G23" s="4" t="n">
        <f aca="false">'Assembly seats'!K57</f>
        <v>0.0265352056205065</v>
      </c>
      <c r="H23" s="3" t="n">
        <f aca="false">'Assembly seats'!P57</f>
        <v>26031</v>
      </c>
      <c r="I23" s="5" t="n">
        <f aca="false">H23/F23</f>
        <v>4.46960851648352</v>
      </c>
      <c r="J23" s="2" t="s">
        <v>14</v>
      </c>
    </row>
    <row r="24" customFormat="false" ht="15" hidden="false" customHeight="false" outlineLevel="0" collapsed="false">
      <c r="A24" s="2" t="n">
        <v>87</v>
      </c>
      <c r="B24" s="2" t="s">
        <v>61</v>
      </c>
      <c r="C24" s="2" t="s">
        <v>62</v>
      </c>
      <c r="D24" s="2" t="s">
        <v>27</v>
      </c>
      <c r="E24" s="2" t="s">
        <v>18</v>
      </c>
      <c r="F24" s="3" t="n">
        <f aca="false">'Assembly seats'!J88</f>
        <v>2132</v>
      </c>
      <c r="G24" s="4" t="n">
        <f aca="false">'Assembly seats'!K88</f>
        <v>0.0104369110268021</v>
      </c>
      <c r="H24" s="3" t="n">
        <f aca="false">'Assembly seats'!P88</f>
        <v>9413</v>
      </c>
      <c r="I24" s="5" t="n">
        <f aca="false">H24/F24</f>
        <v>4.41510318949343</v>
      </c>
      <c r="J24" s="2" t="s">
        <v>14</v>
      </c>
    </row>
    <row r="25" customFormat="false" ht="15" hidden="false" customHeight="false" outlineLevel="0" collapsed="false">
      <c r="A25" s="2" t="n">
        <v>128</v>
      </c>
      <c r="B25" s="2" t="s">
        <v>63</v>
      </c>
      <c r="C25" s="2" t="s">
        <v>39</v>
      </c>
      <c r="D25" s="2" t="s">
        <v>64</v>
      </c>
      <c r="E25" s="2" t="s">
        <v>13</v>
      </c>
      <c r="F25" s="3" t="n">
        <f aca="false">'Assembly seats'!J129</f>
        <v>5133</v>
      </c>
      <c r="G25" s="4" t="n">
        <f aca="false">'Assembly seats'!K129</f>
        <v>0.0231446620284157</v>
      </c>
      <c r="H25" s="3" t="n">
        <f aca="false">'Assembly seats'!P129</f>
        <v>18867</v>
      </c>
      <c r="I25" s="5" t="n">
        <f aca="false">H25/F25</f>
        <v>3.67562828755114</v>
      </c>
      <c r="J25" s="2" t="s">
        <v>14</v>
      </c>
    </row>
    <row r="26" customFormat="false" ht="15" hidden="false" customHeight="false" outlineLevel="0" collapsed="false">
      <c r="A26" s="2" t="n">
        <v>1</v>
      </c>
      <c r="B26" s="2" t="s">
        <v>65</v>
      </c>
      <c r="C26" s="2" t="s">
        <v>36</v>
      </c>
      <c r="D26" s="2" t="s">
        <v>27</v>
      </c>
      <c r="E26" s="2" t="s">
        <v>18</v>
      </c>
      <c r="F26" s="3" t="n">
        <f aca="false">'Assembly seats'!J2</f>
        <v>2904</v>
      </c>
      <c r="G26" s="4" t="n">
        <f aca="false">'Assembly seats'!K2</f>
        <v>0.0126149528894063</v>
      </c>
      <c r="H26" s="3" t="n">
        <f aca="false">'Assembly seats'!P2</f>
        <v>10614</v>
      </c>
      <c r="I26" s="5" t="n">
        <f aca="false">H26/F26</f>
        <v>3.65495867768595</v>
      </c>
      <c r="J26" s="2" t="s">
        <v>14</v>
      </c>
    </row>
    <row r="27" customFormat="false" ht="15" hidden="false" customHeight="false" outlineLevel="0" collapsed="false">
      <c r="A27" s="2" t="n">
        <v>77</v>
      </c>
      <c r="B27" s="2" t="s">
        <v>66</v>
      </c>
      <c r="C27" s="2" t="s">
        <v>67</v>
      </c>
      <c r="D27" s="2" t="s">
        <v>17</v>
      </c>
      <c r="E27" s="2" t="s">
        <v>18</v>
      </c>
      <c r="F27" s="3" t="n">
        <f aca="false">'Assembly seats'!J78</f>
        <v>2812</v>
      </c>
      <c r="G27" s="4" t="n">
        <f aca="false">'Assembly seats'!K78</f>
        <v>0.0131257118318116</v>
      </c>
      <c r="H27" s="3" t="n">
        <f aca="false">'Assembly seats'!P78</f>
        <v>10135</v>
      </c>
      <c r="I27" s="5" t="n">
        <f aca="false">H27/F27</f>
        <v>3.60419630156472</v>
      </c>
      <c r="J27" s="2" t="s">
        <v>14</v>
      </c>
    </row>
    <row r="28" customFormat="false" ht="15" hidden="false" customHeight="false" outlineLevel="0" collapsed="false">
      <c r="A28" s="2" t="n">
        <v>70</v>
      </c>
      <c r="B28" s="2" t="s">
        <v>68</v>
      </c>
      <c r="C28" s="2" t="s">
        <v>69</v>
      </c>
      <c r="D28" s="2" t="s">
        <v>17</v>
      </c>
      <c r="E28" s="2" t="s">
        <v>18</v>
      </c>
      <c r="F28" s="3" t="n">
        <f aca="false">'Assembly seats'!J71</f>
        <v>3054</v>
      </c>
      <c r="G28" s="4" t="n">
        <f aca="false">'Assembly seats'!K71</f>
        <v>0.0127930697921859</v>
      </c>
      <c r="H28" s="3" t="n">
        <f aca="false">'Assembly seats'!P71</f>
        <v>10905</v>
      </c>
      <c r="I28" s="5" t="n">
        <f aca="false">H28/F28</f>
        <v>3.57072691552063</v>
      </c>
      <c r="J28" s="2" t="s">
        <v>14</v>
      </c>
    </row>
    <row r="29" customFormat="false" ht="15" hidden="false" customHeight="false" outlineLevel="0" collapsed="false">
      <c r="A29" s="2" t="n">
        <v>38</v>
      </c>
      <c r="B29" s="2" t="s">
        <v>70</v>
      </c>
      <c r="C29" s="2" t="s">
        <v>70</v>
      </c>
      <c r="D29" s="2" t="s">
        <v>25</v>
      </c>
      <c r="E29" s="2" t="s">
        <v>18</v>
      </c>
      <c r="F29" s="3" t="n">
        <f aca="false">'Assembly seats'!J39</f>
        <v>5496</v>
      </c>
      <c r="G29" s="4" t="n">
        <f aca="false">'Assembly seats'!K39</f>
        <v>0.0260854707345319</v>
      </c>
      <c r="H29" s="3" t="n">
        <f aca="false">'Assembly seats'!P39</f>
        <v>19600</v>
      </c>
      <c r="I29" s="5" t="n">
        <f aca="false">H29/F29</f>
        <v>3.56622998544396</v>
      </c>
      <c r="J29" s="2" t="s">
        <v>14</v>
      </c>
    </row>
    <row r="30" customFormat="false" ht="15" hidden="false" customHeight="false" outlineLevel="0" collapsed="false">
      <c r="A30" s="2" t="n">
        <v>189</v>
      </c>
      <c r="B30" s="2" t="s">
        <v>71</v>
      </c>
      <c r="C30" s="2" t="s">
        <v>72</v>
      </c>
      <c r="D30" s="2" t="s">
        <v>27</v>
      </c>
      <c r="E30" s="2" t="s">
        <v>18</v>
      </c>
      <c r="F30" s="3" t="n">
        <f aca="false">'Assembly seats'!J190</f>
        <v>5694</v>
      </c>
      <c r="G30" s="4" t="n">
        <f aca="false">'Assembly seats'!K190</f>
        <v>0.0237250988545786</v>
      </c>
      <c r="H30" s="3" t="n">
        <f aca="false">'Assembly seats'!P190</f>
        <v>19591</v>
      </c>
      <c r="I30" s="5" t="n">
        <f aca="false">H30/F30</f>
        <v>3.44063926940639</v>
      </c>
      <c r="J30" s="2" t="s">
        <v>14</v>
      </c>
    </row>
    <row r="31" customFormat="false" ht="15" hidden="false" customHeight="false" outlineLevel="0" collapsed="false">
      <c r="A31" s="2" t="n">
        <v>181</v>
      </c>
      <c r="B31" s="2" t="s">
        <v>73</v>
      </c>
      <c r="C31" s="2" t="s">
        <v>74</v>
      </c>
      <c r="D31" s="2" t="s">
        <v>44</v>
      </c>
      <c r="E31" s="2" t="s">
        <v>22</v>
      </c>
      <c r="F31" s="3" t="n">
        <f aca="false">'Assembly seats'!J182</f>
        <v>1316</v>
      </c>
      <c r="G31" s="4" t="n">
        <f aca="false">'Assembly seats'!K182</f>
        <v>0.00977719002370003</v>
      </c>
      <c r="H31" s="3" t="n">
        <f aca="false">'Assembly seats'!P182</f>
        <v>4519</v>
      </c>
      <c r="I31" s="5" t="n">
        <f aca="false">H31/F31</f>
        <v>3.4338905775076</v>
      </c>
      <c r="J31" s="2" t="s">
        <v>14</v>
      </c>
    </row>
    <row r="32" customFormat="false" ht="15" hidden="false" customHeight="false" outlineLevel="0" collapsed="false">
      <c r="A32" s="2" t="n">
        <v>23</v>
      </c>
      <c r="B32" s="2" t="s">
        <v>75</v>
      </c>
      <c r="C32" s="2" t="s">
        <v>26</v>
      </c>
      <c r="D32" s="2" t="s">
        <v>17</v>
      </c>
      <c r="E32" s="2" t="s">
        <v>18</v>
      </c>
      <c r="F32" s="3" t="n">
        <f aca="false">'Assembly seats'!J24</f>
        <v>3201</v>
      </c>
      <c r="G32" s="4" t="n">
        <f aca="false">'Assembly seats'!K24</f>
        <v>0.0143266988618308</v>
      </c>
      <c r="H32" s="3" t="n">
        <f aca="false">'Assembly seats'!P24</f>
        <v>10502</v>
      </c>
      <c r="I32" s="5" t="n">
        <f aca="false">H32/F32</f>
        <v>3.28084973445798</v>
      </c>
      <c r="J32" s="2" t="s">
        <v>14</v>
      </c>
    </row>
    <row r="33" customFormat="false" ht="15" hidden="false" customHeight="false" outlineLevel="0" collapsed="false">
      <c r="A33" s="2" t="n">
        <v>95</v>
      </c>
      <c r="B33" s="2" t="s">
        <v>76</v>
      </c>
      <c r="C33" s="2" t="s">
        <v>58</v>
      </c>
      <c r="D33" s="2" t="s">
        <v>17</v>
      </c>
      <c r="E33" s="2" t="s">
        <v>18</v>
      </c>
      <c r="F33" s="3" t="n">
        <f aca="false">'Assembly seats'!J96</f>
        <v>4516</v>
      </c>
      <c r="G33" s="4" t="n">
        <f aca="false">'Assembly seats'!K96</f>
        <v>0.0153357149648868</v>
      </c>
      <c r="H33" s="3" t="n">
        <f aca="false">'Assembly seats'!P96</f>
        <v>14734</v>
      </c>
      <c r="I33" s="5" t="n">
        <f aca="false">H33/F33</f>
        <v>3.26262178919398</v>
      </c>
      <c r="J33" s="2" t="s">
        <v>14</v>
      </c>
    </row>
    <row r="34" customFormat="false" ht="15" hidden="false" customHeight="false" outlineLevel="0" collapsed="false">
      <c r="A34" s="2" t="n">
        <v>190</v>
      </c>
      <c r="B34" s="2" t="s">
        <v>77</v>
      </c>
      <c r="C34" s="2" t="s">
        <v>72</v>
      </c>
      <c r="D34" s="2" t="s">
        <v>17</v>
      </c>
      <c r="E34" s="2" t="s">
        <v>18</v>
      </c>
      <c r="F34" s="3" t="n">
        <f aca="false">'Assembly seats'!J191</f>
        <v>6512</v>
      </c>
      <c r="G34" s="4" t="n">
        <f aca="false">'Assembly seats'!K191</f>
        <v>0.0247089714207659</v>
      </c>
      <c r="H34" s="3" t="n">
        <f aca="false">'Assembly seats'!P191</f>
        <v>21027</v>
      </c>
      <c r="I34" s="5" t="n">
        <f aca="false">H34/F34</f>
        <v>3.22896191646192</v>
      </c>
      <c r="J34" s="2" t="s">
        <v>14</v>
      </c>
    </row>
    <row r="35" customFormat="false" ht="15" hidden="false" customHeight="false" outlineLevel="0" collapsed="false">
      <c r="A35" s="2" t="n">
        <v>195</v>
      </c>
      <c r="B35" s="2" t="s">
        <v>78</v>
      </c>
      <c r="C35" s="2" t="s">
        <v>24</v>
      </c>
      <c r="D35" s="2" t="s">
        <v>79</v>
      </c>
      <c r="E35" s="2" t="s">
        <v>13</v>
      </c>
      <c r="F35" s="3" t="n">
        <f aca="false">'Assembly seats'!J196</f>
        <v>6664</v>
      </c>
      <c r="G35" s="4" t="n">
        <f aca="false">'Assembly seats'!K196</f>
        <v>0.029460524047197</v>
      </c>
      <c r="H35" s="3" t="n">
        <f aca="false">'Assembly seats'!P196</f>
        <v>21233</v>
      </c>
      <c r="I35" s="5" t="n">
        <f aca="false">H35/F35</f>
        <v>3.18622448979592</v>
      </c>
      <c r="J35" s="2" t="s">
        <v>14</v>
      </c>
    </row>
    <row r="36" customFormat="false" ht="15" hidden="false" customHeight="false" outlineLevel="0" collapsed="false">
      <c r="A36" s="2" t="n">
        <v>86</v>
      </c>
      <c r="B36" s="2" t="s">
        <v>80</v>
      </c>
      <c r="C36" s="2" t="s">
        <v>62</v>
      </c>
      <c r="D36" s="2" t="s">
        <v>27</v>
      </c>
      <c r="E36" s="2" t="s">
        <v>18</v>
      </c>
      <c r="F36" s="3" t="n">
        <f aca="false">'Assembly seats'!J87</f>
        <v>3502</v>
      </c>
      <c r="G36" s="4" t="n">
        <f aca="false">'Assembly seats'!K87</f>
        <v>0.0158630936203367</v>
      </c>
      <c r="H36" s="3" t="n">
        <f aca="false">'Assembly seats'!P87</f>
        <v>10663</v>
      </c>
      <c r="I36" s="5" t="n">
        <f aca="false">H36/F36</f>
        <v>3.04483152484295</v>
      </c>
      <c r="J36" s="2" t="s">
        <v>14</v>
      </c>
    </row>
    <row r="37" customFormat="false" ht="15" hidden="false" customHeight="false" outlineLevel="0" collapsed="false">
      <c r="A37" s="2" t="n">
        <v>111</v>
      </c>
      <c r="B37" s="2" t="s">
        <v>81</v>
      </c>
      <c r="C37" s="2" t="s">
        <v>41</v>
      </c>
      <c r="D37" s="2" t="s">
        <v>17</v>
      </c>
      <c r="E37" s="2" t="s">
        <v>18</v>
      </c>
      <c r="F37" s="3" t="n">
        <f aca="false">'Assembly seats'!J112</f>
        <v>5015</v>
      </c>
      <c r="G37" s="4" t="n">
        <f aca="false">'Assembly seats'!K112</f>
        <v>0.0186012870681182</v>
      </c>
      <c r="H37" s="3" t="n">
        <f aca="false">'Assembly seats'!P112</f>
        <v>15109</v>
      </c>
      <c r="I37" s="5" t="n">
        <f aca="false">H37/F37</f>
        <v>3.01276171485543</v>
      </c>
      <c r="J37" s="2" t="s">
        <v>14</v>
      </c>
    </row>
    <row r="38" customFormat="false" ht="15" hidden="false" customHeight="false" outlineLevel="0" collapsed="false">
      <c r="A38" s="2" t="n">
        <v>230</v>
      </c>
      <c r="B38" s="2" t="s">
        <v>56</v>
      </c>
      <c r="C38" s="2" t="s">
        <v>56</v>
      </c>
      <c r="D38" s="2" t="s">
        <v>34</v>
      </c>
      <c r="E38" s="2" t="s">
        <v>22</v>
      </c>
      <c r="F38" s="3" t="n">
        <f aca="false">'Assembly seats'!J231</f>
        <v>5324</v>
      </c>
      <c r="G38" s="4" t="n">
        <f aca="false">'Assembly seats'!K231</f>
        <v>0.0219342877742301</v>
      </c>
      <c r="H38" s="3" t="n">
        <f aca="false">'Assembly seats'!P231</f>
        <v>14706</v>
      </c>
      <c r="I38" s="5" t="n">
        <f aca="false">H38/F38</f>
        <v>2.76220886551465</v>
      </c>
      <c r="J38" s="2" t="s">
        <v>14</v>
      </c>
    </row>
    <row r="39" customFormat="false" ht="15" hidden="false" customHeight="false" outlineLevel="0" collapsed="false">
      <c r="A39" s="2" t="n">
        <v>99</v>
      </c>
      <c r="B39" s="2" t="s">
        <v>82</v>
      </c>
      <c r="C39" s="2" t="s">
        <v>58</v>
      </c>
      <c r="D39" s="2" t="s">
        <v>17</v>
      </c>
      <c r="E39" s="2" t="s">
        <v>18</v>
      </c>
      <c r="F39" s="3" t="n">
        <f aca="false">'Assembly seats'!J100</f>
        <v>4740</v>
      </c>
      <c r="G39" s="4" t="n">
        <f aca="false">'Assembly seats'!K100</f>
        <v>0.0207218549994754</v>
      </c>
      <c r="H39" s="3" t="n">
        <f aca="false">'Assembly seats'!P100</f>
        <v>12262</v>
      </c>
      <c r="I39" s="5" t="n">
        <f aca="false">H39/F39</f>
        <v>2.58691983122363</v>
      </c>
      <c r="J39" s="2" t="s">
        <v>14</v>
      </c>
    </row>
    <row r="40" customFormat="false" ht="15" hidden="false" customHeight="false" outlineLevel="0" collapsed="false">
      <c r="A40" s="2" t="n">
        <v>252</v>
      </c>
      <c r="B40" s="2" t="s">
        <v>83</v>
      </c>
      <c r="C40" s="2" t="s">
        <v>84</v>
      </c>
      <c r="D40" s="2" t="s">
        <v>17</v>
      </c>
      <c r="E40" s="2" t="s">
        <v>18</v>
      </c>
      <c r="F40" s="3" t="n">
        <f aca="false">'Assembly seats'!J253</f>
        <v>8430</v>
      </c>
      <c r="G40" s="4" t="n">
        <f aca="false">'Assembly seats'!K253</f>
        <v>0.0321311775333318</v>
      </c>
      <c r="H40" s="3" t="n">
        <f aca="false">'Assembly seats'!P253</f>
        <v>20281</v>
      </c>
      <c r="I40" s="5" t="n">
        <f aca="false">H40/F40</f>
        <v>2.40581257413998</v>
      </c>
      <c r="J40" s="2" t="s">
        <v>14</v>
      </c>
    </row>
    <row r="41" customFormat="false" ht="15" hidden="false" customHeight="false" outlineLevel="0" collapsed="false">
      <c r="A41" s="2" t="n">
        <v>24</v>
      </c>
      <c r="B41" s="2" t="s">
        <v>85</v>
      </c>
      <c r="C41" s="2" t="s">
        <v>26</v>
      </c>
      <c r="D41" s="2" t="s">
        <v>25</v>
      </c>
      <c r="E41" s="2" t="s">
        <v>18</v>
      </c>
      <c r="F41" s="3" t="n">
        <f aca="false">'Assembly seats'!J25</f>
        <v>4650</v>
      </c>
      <c r="G41" s="4" t="n">
        <f aca="false">'Assembly seats'!K25</f>
        <v>0.020173885880883</v>
      </c>
      <c r="H41" s="3" t="n">
        <f aca="false">'Assembly seats'!P25</f>
        <v>11095</v>
      </c>
      <c r="I41" s="5" t="n">
        <f aca="false">H41/F41</f>
        <v>2.38602150537634</v>
      </c>
      <c r="J41" s="2" t="s">
        <v>14</v>
      </c>
    </row>
    <row r="42" customFormat="false" ht="15" hidden="false" customHeight="false" outlineLevel="0" collapsed="false">
      <c r="A42" s="2" t="n">
        <v>229</v>
      </c>
      <c r="B42" s="2" t="s">
        <v>86</v>
      </c>
      <c r="C42" s="2" t="s">
        <v>56</v>
      </c>
      <c r="D42" s="2" t="s">
        <v>25</v>
      </c>
      <c r="E42" s="2" t="s">
        <v>18</v>
      </c>
      <c r="F42" s="3" t="n">
        <f aca="false">'Assembly seats'!J230</f>
        <v>5899</v>
      </c>
      <c r="G42" s="4" t="n">
        <f aca="false">'Assembly seats'!K230</f>
        <v>0.0246833509772498</v>
      </c>
      <c r="H42" s="3" t="n">
        <f aca="false">'Assembly seats'!P230</f>
        <v>13488</v>
      </c>
      <c r="I42" s="5" t="n">
        <f aca="false">H42/F42</f>
        <v>2.28648923546364</v>
      </c>
      <c r="J42" s="2" t="s">
        <v>14</v>
      </c>
    </row>
    <row r="43" customFormat="false" ht="15" hidden="false" customHeight="false" outlineLevel="0" collapsed="false">
      <c r="A43" s="2" t="n">
        <v>221</v>
      </c>
      <c r="B43" s="2" t="s">
        <v>87</v>
      </c>
      <c r="C43" s="2" t="s">
        <v>88</v>
      </c>
      <c r="D43" s="2" t="s">
        <v>27</v>
      </c>
      <c r="E43" s="2" t="s">
        <v>18</v>
      </c>
      <c r="F43" s="3" t="n">
        <f aca="false">'Assembly seats'!J222</f>
        <v>4021</v>
      </c>
      <c r="G43" s="4" t="n">
        <f aca="false">'Assembly seats'!K222</f>
        <v>0.0176570294386285</v>
      </c>
      <c r="H43" s="3" t="n">
        <f aca="false">'Assembly seats'!P222</f>
        <v>8858</v>
      </c>
      <c r="I43" s="5" t="n">
        <f aca="false">H43/F43</f>
        <v>2.20293459338473</v>
      </c>
      <c r="J43" s="2" t="s">
        <v>14</v>
      </c>
    </row>
    <row r="44" customFormat="false" ht="15" hidden="false" customHeight="false" outlineLevel="0" collapsed="false">
      <c r="A44" s="2" t="n">
        <v>25</v>
      </c>
      <c r="B44" s="2" t="s">
        <v>89</v>
      </c>
      <c r="C44" s="2" t="s">
        <v>26</v>
      </c>
      <c r="D44" s="2" t="s">
        <v>44</v>
      </c>
      <c r="E44" s="2" t="s">
        <v>22</v>
      </c>
      <c r="F44" s="3" t="n">
        <f aca="false">'Assembly seats'!J26</f>
        <v>4819</v>
      </c>
      <c r="G44" s="4" t="n">
        <f aca="false">'Assembly seats'!K26</f>
        <v>0.022504284640207</v>
      </c>
      <c r="H44" s="3" t="n">
        <f aca="false">'Assembly seats'!P26</f>
        <v>10510</v>
      </c>
      <c r="I44" s="5" t="n">
        <f aca="false">H44/F44</f>
        <v>2.18095040464827</v>
      </c>
      <c r="J44" s="2" t="s">
        <v>14</v>
      </c>
    </row>
    <row r="45" customFormat="false" ht="15" hidden="false" customHeight="false" outlineLevel="0" collapsed="false">
      <c r="A45" s="2" t="n">
        <v>55</v>
      </c>
      <c r="B45" s="2" t="s">
        <v>90</v>
      </c>
      <c r="C45" s="2" t="s">
        <v>60</v>
      </c>
      <c r="D45" s="2" t="s">
        <v>17</v>
      </c>
      <c r="E45" s="2" t="s">
        <v>18</v>
      </c>
      <c r="F45" s="3" t="n">
        <f aca="false">'Assembly seats'!J56</f>
        <v>11632</v>
      </c>
      <c r="G45" s="4" t="n">
        <f aca="false">'Assembly seats'!K56</f>
        <v>0.0592903709216207</v>
      </c>
      <c r="H45" s="3" t="n">
        <f aca="false">'Assembly seats'!P56</f>
        <v>25320</v>
      </c>
      <c r="I45" s="5" t="n">
        <f aca="false">H45/F45</f>
        <v>2.1767537826685</v>
      </c>
      <c r="J45" s="2" t="s">
        <v>91</v>
      </c>
    </row>
    <row r="46" customFormat="false" ht="15" hidden="false" customHeight="false" outlineLevel="0" collapsed="false">
      <c r="A46" s="2" t="n">
        <v>5</v>
      </c>
      <c r="B46" s="2" t="s">
        <v>92</v>
      </c>
      <c r="C46" s="2" t="s">
        <v>36</v>
      </c>
      <c r="D46" s="2" t="s">
        <v>27</v>
      </c>
      <c r="E46" s="2" t="s">
        <v>18</v>
      </c>
      <c r="F46" s="3" t="n">
        <f aca="false">'Assembly seats'!J6</f>
        <v>5584</v>
      </c>
      <c r="G46" s="4" t="n">
        <f aca="false">'Assembly seats'!K6</f>
        <v>0.0230512336785789</v>
      </c>
      <c r="H46" s="3" t="n">
        <f aca="false">'Assembly seats'!P6</f>
        <v>12141</v>
      </c>
      <c r="I46" s="5" t="n">
        <f aca="false">H46/F46</f>
        <v>2.17424785100287</v>
      </c>
      <c r="J46" s="2" t="s">
        <v>14</v>
      </c>
    </row>
    <row r="47" customFormat="false" ht="15" hidden="false" customHeight="false" outlineLevel="0" collapsed="false">
      <c r="A47" s="2" t="n">
        <v>174</v>
      </c>
      <c r="B47" s="2" t="s">
        <v>93</v>
      </c>
      <c r="C47" s="2" t="s">
        <v>94</v>
      </c>
      <c r="D47" s="2" t="s">
        <v>27</v>
      </c>
      <c r="E47" s="2" t="s">
        <v>18</v>
      </c>
      <c r="F47" s="3" t="n">
        <f aca="false">'Assembly seats'!J175</f>
        <v>4187</v>
      </c>
      <c r="G47" s="4" t="n">
        <f aca="false">'Assembly seats'!K175</f>
        <v>0.0267895989558007</v>
      </c>
      <c r="H47" s="3" t="n">
        <f aca="false">'Assembly seats'!P175</f>
        <v>9093</v>
      </c>
      <c r="I47" s="5" t="n">
        <f aca="false">H47/F47</f>
        <v>2.17172199665632</v>
      </c>
      <c r="J47" s="2" t="s">
        <v>14</v>
      </c>
    </row>
    <row r="48" customFormat="false" ht="15" hidden="false" customHeight="false" outlineLevel="0" collapsed="false">
      <c r="A48" s="2" t="n">
        <v>264</v>
      </c>
      <c r="B48" s="2" t="s">
        <v>95</v>
      </c>
      <c r="C48" s="2" t="s">
        <v>96</v>
      </c>
      <c r="D48" s="2" t="s">
        <v>44</v>
      </c>
      <c r="E48" s="2" t="s">
        <v>22</v>
      </c>
      <c r="F48" s="3" t="n">
        <f aca="false">'Assembly seats'!J265</f>
        <v>2830</v>
      </c>
      <c r="G48" s="4" t="n">
        <f aca="false">'Assembly seats'!K265</f>
        <v>0.018681471017315</v>
      </c>
      <c r="H48" s="3" t="n">
        <f aca="false">'Assembly seats'!P265</f>
        <v>5892</v>
      </c>
      <c r="I48" s="5" t="n">
        <f aca="false">H48/F48</f>
        <v>2.08197879858657</v>
      </c>
      <c r="J48" s="2" t="s">
        <v>14</v>
      </c>
    </row>
    <row r="49" customFormat="false" ht="15" hidden="false" customHeight="false" outlineLevel="0" collapsed="false">
      <c r="A49" s="2" t="n">
        <v>240</v>
      </c>
      <c r="B49" s="2" t="s">
        <v>97</v>
      </c>
      <c r="C49" s="2" t="s">
        <v>54</v>
      </c>
      <c r="D49" s="2" t="s">
        <v>44</v>
      </c>
      <c r="E49" s="2" t="s">
        <v>22</v>
      </c>
      <c r="F49" s="3" t="n">
        <f aca="false">'Assembly seats'!J241</f>
        <v>3965</v>
      </c>
      <c r="G49" s="4" t="n">
        <f aca="false">'Assembly seats'!K241</f>
        <v>0.0200482371203349</v>
      </c>
      <c r="H49" s="3" t="n">
        <f aca="false">'Assembly seats'!P241</f>
        <v>8183</v>
      </c>
      <c r="I49" s="5" t="n">
        <f aca="false">H49/F49</f>
        <v>2.06380832282472</v>
      </c>
      <c r="J49" s="2" t="s">
        <v>14</v>
      </c>
    </row>
    <row r="50" customFormat="false" ht="15" hidden="false" customHeight="false" outlineLevel="0" collapsed="false">
      <c r="A50" s="2" t="n">
        <v>39</v>
      </c>
      <c r="B50" s="2" t="s">
        <v>98</v>
      </c>
      <c r="C50" s="2" t="s">
        <v>70</v>
      </c>
      <c r="D50" s="2" t="s">
        <v>17</v>
      </c>
      <c r="E50" s="2" t="s">
        <v>18</v>
      </c>
      <c r="F50" s="3" t="n">
        <f aca="false">'Assembly seats'!J40</f>
        <v>7617</v>
      </c>
      <c r="G50" s="4" t="n">
        <f aca="false">'Assembly seats'!K40</f>
        <v>0.0375254948714664</v>
      </c>
      <c r="H50" s="3" t="n">
        <f aca="false">'Assembly seats'!P40</f>
        <v>15520</v>
      </c>
      <c r="I50" s="5" t="n">
        <f aca="false">H50/F50</f>
        <v>2.03754759091506</v>
      </c>
      <c r="J50" s="2" t="s">
        <v>14</v>
      </c>
    </row>
    <row r="51" customFormat="false" ht="15" hidden="false" customHeight="false" outlineLevel="0" collapsed="false">
      <c r="A51" s="2" t="n">
        <v>33</v>
      </c>
      <c r="B51" s="2" t="s">
        <v>99</v>
      </c>
      <c r="C51" s="2" t="s">
        <v>31</v>
      </c>
      <c r="D51" s="2" t="s">
        <v>21</v>
      </c>
      <c r="E51" s="2" t="s">
        <v>22</v>
      </c>
      <c r="F51" s="3" t="n">
        <f aca="false">'Assembly seats'!J34</f>
        <v>6136</v>
      </c>
      <c r="G51" s="4" t="n">
        <f aca="false">'Assembly seats'!K34</f>
        <v>0.0265621956234714</v>
      </c>
      <c r="H51" s="3" t="n">
        <f aca="false">'Assembly seats'!P34</f>
        <v>11815</v>
      </c>
      <c r="I51" s="5" t="n">
        <f aca="false">H51/F51</f>
        <v>1.92552151238592</v>
      </c>
      <c r="J51" s="2" t="s">
        <v>14</v>
      </c>
    </row>
    <row r="52" customFormat="false" ht="15" hidden="false" customHeight="false" outlineLevel="0" collapsed="false">
      <c r="A52" s="2" t="n">
        <v>107</v>
      </c>
      <c r="B52" s="2" t="s">
        <v>100</v>
      </c>
      <c r="C52" s="2" t="s">
        <v>41</v>
      </c>
      <c r="D52" s="2" t="s">
        <v>27</v>
      </c>
      <c r="E52" s="2" t="s">
        <v>18</v>
      </c>
      <c r="F52" s="3" t="n">
        <f aca="false">'Assembly seats'!J108</f>
        <v>8119</v>
      </c>
      <c r="G52" s="4" t="n">
        <f aca="false">'Assembly seats'!K108</f>
        <v>0.0366432127238016</v>
      </c>
      <c r="H52" s="3" t="n">
        <f aca="false">'Assembly seats'!P108</f>
        <v>15283</v>
      </c>
      <c r="I52" s="5" t="n">
        <f aca="false">H52/F52</f>
        <v>1.88237467668432</v>
      </c>
      <c r="J52" s="2" t="s">
        <v>14</v>
      </c>
    </row>
    <row r="53" customFormat="false" ht="15" hidden="false" customHeight="false" outlineLevel="0" collapsed="false">
      <c r="A53" s="2" t="n">
        <v>162</v>
      </c>
      <c r="B53" s="2" t="s">
        <v>101</v>
      </c>
      <c r="C53" s="2" t="s">
        <v>102</v>
      </c>
      <c r="D53" s="2" t="s">
        <v>21</v>
      </c>
      <c r="E53" s="2" t="s">
        <v>22</v>
      </c>
      <c r="F53" s="3" t="n">
        <f aca="false">'Assembly seats'!J163</f>
        <v>6227</v>
      </c>
      <c r="G53" s="4" t="n">
        <f aca="false">'Assembly seats'!K163</f>
        <v>0.0315846068789214</v>
      </c>
      <c r="H53" s="3" t="n">
        <f aca="false">'Assembly seats'!P163</f>
        <v>11207</v>
      </c>
      <c r="I53" s="5" t="n">
        <f aca="false">H53/F53</f>
        <v>1.79974305444034</v>
      </c>
      <c r="J53" s="2" t="s">
        <v>14</v>
      </c>
    </row>
    <row r="54" customFormat="false" ht="15" hidden="false" customHeight="false" outlineLevel="0" collapsed="false">
      <c r="A54" s="2" t="n">
        <v>159</v>
      </c>
      <c r="B54" s="2" t="s">
        <v>103</v>
      </c>
      <c r="C54" s="2" t="s">
        <v>43</v>
      </c>
      <c r="D54" s="2" t="s">
        <v>44</v>
      </c>
      <c r="E54" s="2" t="s">
        <v>22</v>
      </c>
      <c r="F54" s="3" t="n">
        <f aca="false">'Assembly seats'!J160</f>
        <v>6182</v>
      </c>
      <c r="G54" s="4" t="n">
        <f aca="false">'Assembly seats'!K160</f>
        <v>0.034801308285999</v>
      </c>
      <c r="H54" s="3" t="n">
        <f aca="false">'Assembly seats'!P160</f>
        <v>10678</v>
      </c>
      <c r="I54" s="5" t="n">
        <f aca="false">H54/F54</f>
        <v>1.72727272727273</v>
      </c>
      <c r="J54" s="2" t="s">
        <v>14</v>
      </c>
    </row>
    <row r="55" customFormat="false" ht="15" hidden="false" customHeight="false" outlineLevel="0" collapsed="false">
      <c r="A55" s="2" t="n">
        <v>53</v>
      </c>
      <c r="B55" s="2" t="s">
        <v>104</v>
      </c>
      <c r="C55" s="2" t="s">
        <v>60</v>
      </c>
      <c r="D55" s="2" t="s">
        <v>17</v>
      </c>
      <c r="E55" s="2" t="s">
        <v>18</v>
      </c>
      <c r="F55" s="3" t="n">
        <f aca="false">'Assembly seats'!J54</f>
        <v>15658</v>
      </c>
      <c r="G55" s="4" t="n">
        <f aca="false">'Assembly seats'!K54</f>
        <v>0.068586997468177</v>
      </c>
      <c r="H55" s="3" t="n">
        <f aca="false">'Assembly seats'!P54</f>
        <v>26438</v>
      </c>
      <c r="I55" s="5" t="n">
        <f aca="false">H55/F55</f>
        <v>1.68846595989271</v>
      </c>
      <c r="J55" s="2" t="s">
        <v>14</v>
      </c>
    </row>
    <row r="56" customFormat="false" ht="15" hidden="false" customHeight="false" outlineLevel="0" collapsed="false">
      <c r="A56" s="2" t="n">
        <v>235</v>
      </c>
      <c r="B56" s="2" t="s">
        <v>105</v>
      </c>
      <c r="C56" s="2" t="s">
        <v>106</v>
      </c>
      <c r="D56" s="2" t="s">
        <v>21</v>
      </c>
      <c r="E56" s="2" t="s">
        <v>22</v>
      </c>
      <c r="F56" s="3" t="n">
        <f aca="false">'Assembly seats'!J236</f>
        <v>7398</v>
      </c>
      <c r="G56" s="4" t="n">
        <f aca="false">'Assembly seats'!K236</f>
        <v>0.0292255120785352</v>
      </c>
      <c r="H56" s="3" t="n">
        <f aca="false">'Assembly seats'!P236</f>
        <v>12363</v>
      </c>
      <c r="I56" s="5" t="n">
        <f aca="false">H56/F56</f>
        <v>1.67112733171127</v>
      </c>
      <c r="J56" s="2" t="s">
        <v>14</v>
      </c>
    </row>
    <row r="57" customFormat="false" ht="15" hidden="false" customHeight="false" outlineLevel="0" collapsed="false">
      <c r="A57" s="2" t="n">
        <v>83</v>
      </c>
      <c r="B57" s="2" t="s">
        <v>107</v>
      </c>
      <c r="C57" s="2" t="s">
        <v>108</v>
      </c>
      <c r="D57" s="2" t="s">
        <v>17</v>
      </c>
      <c r="E57" s="2" t="s">
        <v>18</v>
      </c>
      <c r="F57" s="3" t="n">
        <f aca="false">'Assembly seats'!J84</f>
        <v>5636</v>
      </c>
      <c r="G57" s="4" t="n">
        <f aca="false">'Assembly seats'!K84</f>
        <v>0.0278534186661395</v>
      </c>
      <c r="H57" s="3" t="n">
        <f aca="false">'Assembly seats'!P84</f>
        <v>9179</v>
      </c>
      <c r="I57" s="5" t="n">
        <f aca="false">H57/F57</f>
        <v>1.62863733144074</v>
      </c>
      <c r="J57" s="2" t="s">
        <v>14</v>
      </c>
    </row>
    <row r="58" customFormat="false" ht="15" hidden="false" customHeight="false" outlineLevel="0" collapsed="false">
      <c r="A58" s="2" t="n">
        <v>172</v>
      </c>
      <c r="B58" s="2" t="s">
        <v>109</v>
      </c>
      <c r="C58" s="2" t="s">
        <v>74</v>
      </c>
      <c r="D58" s="2" t="s">
        <v>25</v>
      </c>
      <c r="E58" s="2" t="s">
        <v>18</v>
      </c>
      <c r="F58" s="3" t="n">
        <f aca="false">'Assembly seats'!J173</f>
        <v>3378</v>
      </c>
      <c r="G58" s="4" t="n">
        <f aca="false">'Assembly seats'!K173</f>
        <v>0.0231251069655999</v>
      </c>
      <c r="H58" s="3" t="n">
        <f aca="false">'Assembly seats'!P173</f>
        <v>5381</v>
      </c>
      <c r="I58" s="5" t="n">
        <f aca="false">H58/F58</f>
        <v>1.59295441089402</v>
      </c>
      <c r="J58" s="2" t="s">
        <v>14</v>
      </c>
    </row>
    <row r="59" customFormat="false" ht="15" hidden="false" customHeight="false" outlineLevel="0" collapsed="false">
      <c r="A59" s="2" t="n">
        <v>234</v>
      </c>
      <c r="B59" s="2" t="s">
        <v>110</v>
      </c>
      <c r="C59" s="2" t="s">
        <v>106</v>
      </c>
      <c r="D59" s="2" t="s">
        <v>17</v>
      </c>
      <c r="E59" s="2" t="s">
        <v>18</v>
      </c>
      <c r="F59" s="3" t="n">
        <f aca="false">'Assembly seats'!J235</f>
        <v>6595</v>
      </c>
      <c r="G59" s="4" t="n">
        <f aca="false">'Assembly seats'!K235</f>
        <v>0.0280101932469739</v>
      </c>
      <c r="H59" s="3" t="n">
        <f aca="false">'Assembly seats'!P235</f>
        <v>10341</v>
      </c>
      <c r="I59" s="5" t="n">
        <f aca="false">H59/F59</f>
        <v>1.56800606520091</v>
      </c>
      <c r="J59" s="2" t="s">
        <v>14</v>
      </c>
    </row>
    <row r="60" customFormat="false" ht="15" hidden="false" customHeight="false" outlineLevel="0" collapsed="false">
      <c r="A60" s="2" t="n">
        <v>214</v>
      </c>
      <c r="B60" s="2" t="s">
        <v>111</v>
      </c>
      <c r="C60" s="2" t="s">
        <v>51</v>
      </c>
      <c r="D60" s="2" t="s">
        <v>17</v>
      </c>
      <c r="E60" s="2" t="s">
        <v>18</v>
      </c>
      <c r="F60" s="3" t="n">
        <f aca="false">'Assembly seats'!J215</f>
        <v>10320</v>
      </c>
      <c r="G60" s="4" t="n">
        <f aca="false">'Assembly seats'!K215</f>
        <v>0.0657463033631273</v>
      </c>
      <c r="H60" s="3" t="n">
        <f aca="false">'Assembly seats'!P215</f>
        <v>15985</v>
      </c>
      <c r="I60" s="5" t="n">
        <f aca="false">H60/F60</f>
        <v>1.54893410852713</v>
      </c>
      <c r="J60" s="2" t="s">
        <v>14</v>
      </c>
    </row>
    <row r="61" customFormat="false" ht="15" hidden="false" customHeight="false" outlineLevel="0" collapsed="false">
      <c r="A61" s="2" t="n">
        <v>216</v>
      </c>
      <c r="B61" s="2" t="s">
        <v>112</v>
      </c>
      <c r="C61" s="2" t="s">
        <v>88</v>
      </c>
      <c r="D61" s="2" t="s">
        <v>25</v>
      </c>
      <c r="E61" s="2" t="s">
        <v>18</v>
      </c>
      <c r="F61" s="3" t="n">
        <f aca="false">'Assembly seats'!J217</f>
        <v>5556</v>
      </c>
      <c r="G61" s="4" t="n">
        <f aca="false">'Assembly seats'!K217</f>
        <v>0.028432089983778</v>
      </c>
      <c r="H61" s="3" t="n">
        <f aca="false">'Assembly seats'!P217</f>
        <v>8370</v>
      </c>
      <c r="I61" s="5" t="n">
        <f aca="false">H61/F61</f>
        <v>1.50647948164147</v>
      </c>
      <c r="J61" s="2" t="s">
        <v>14</v>
      </c>
    </row>
    <row r="62" customFormat="false" ht="15" hidden="false" customHeight="false" outlineLevel="0" collapsed="false">
      <c r="A62" s="2" t="n">
        <v>175</v>
      </c>
      <c r="B62" s="2" t="s">
        <v>113</v>
      </c>
      <c r="C62" s="2" t="s">
        <v>94</v>
      </c>
      <c r="D62" s="2" t="s">
        <v>44</v>
      </c>
      <c r="E62" s="2" t="s">
        <v>22</v>
      </c>
      <c r="F62" s="3" t="n">
        <f aca="false">'Assembly seats'!J176</f>
        <v>5008</v>
      </c>
      <c r="G62" s="4" t="n">
        <f aca="false">'Assembly seats'!K176</f>
        <v>0.0391727417790432</v>
      </c>
      <c r="H62" s="3" t="n">
        <f aca="false">'Assembly seats'!P176</f>
        <v>7522</v>
      </c>
      <c r="I62" s="5" t="n">
        <f aca="false">H62/F62</f>
        <v>1.50199680511182</v>
      </c>
      <c r="J62" s="2" t="s">
        <v>14</v>
      </c>
    </row>
    <row r="63" customFormat="false" ht="15" hidden="false" customHeight="false" outlineLevel="0" collapsed="false">
      <c r="A63" s="2" t="n">
        <v>246</v>
      </c>
      <c r="B63" s="2" t="s">
        <v>114</v>
      </c>
      <c r="C63" s="2" t="s">
        <v>54</v>
      </c>
      <c r="D63" s="2" t="s">
        <v>44</v>
      </c>
      <c r="E63" s="2" t="s">
        <v>22</v>
      </c>
      <c r="F63" s="3" t="n">
        <f aca="false">'Assembly seats'!J247</f>
        <v>6472</v>
      </c>
      <c r="G63" s="4" t="n">
        <f aca="false">'Assembly seats'!K247</f>
        <v>0.0258834445137656</v>
      </c>
      <c r="H63" s="3" t="n">
        <f aca="false">'Assembly seats'!P247</f>
        <v>8757</v>
      </c>
      <c r="I63" s="5" t="n">
        <f aca="false">H63/F63</f>
        <v>1.35305933250927</v>
      </c>
      <c r="J63" s="2" t="s">
        <v>14</v>
      </c>
    </row>
    <row r="64" customFormat="false" ht="15" hidden="false" customHeight="false" outlineLevel="0" collapsed="false">
      <c r="A64" s="2" t="n">
        <v>157</v>
      </c>
      <c r="B64" s="2" t="s">
        <v>115</v>
      </c>
      <c r="C64" s="2" t="s">
        <v>116</v>
      </c>
      <c r="D64" s="2" t="s">
        <v>27</v>
      </c>
      <c r="E64" s="2" t="s">
        <v>18</v>
      </c>
      <c r="F64" s="3" t="n">
        <f aca="false">'Assembly seats'!J158</f>
        <v>6764</v>
      </c>
      <c r="G64" s="4" t="n">
        <f aca="false">'Assembly seats'!K158</f>
        <v>0.0371805654040446</v>
      </c>
      <c r="H64" s="3" t="n">
        <f aca="false">'Assembly seats'!P158</f>
        <v>9013</v>
      </c>
      <c r="I64" s="5" t="n">
        <f aca="false">H64/F64</f>
        <v>1.33249556475458</v>
      </c>
      <c r="J64" s="2" t="s">
        <v>14</v>
      </c>
    </row>
    <row r="65" customFormat="false" ht="15" hidden="false" customHeight="false" outlineLevel="0" collapsed="false">
      <c r="A65" s="2" t="n">
        <v>47</v>
      </c>
      <c r="B65" s="2" t="s">
        <v>117</v>
      </c>
      <c r="C65" s="2" t="s">
        <v>117</v>
      </c>
      <c r="D65" s="2" t="s">
        <v>17</v>
      </c>
      <c r="E65" s="2" t="s">
        <v>18</v>
      </c>
      <c r="F65" s="3" t="n">
        <f aca="false">'Assembly seats'!J48</f>
        <v>7470</v>
      </c>
      <c r="G65" s="4" t="n">
        <f aca="false">'Assembly seats'!K48</f>
        <v>0.0378501902643433</v>
      </c>
      <c r="H65" s="3" t="n">
        <f aca="false">'Assembly seats'!P48</f>
        <v>9906</v>
      </c>
      <c r="I65" s="5" t="n">
        <f aca="false">H65/F65</f>
        <v>1.32610441767068</v>
      </c>
      <c r="J65" s="2" t="s">
        <v>14</v>
      </c>
    </row>
    <row r="66" customFormat="false" ht="15" hidden="false" customHeight="false" outlineLevel="0" collapsed="false">
      <c r="A66" s="2" t="n">
        <v>199</v>
      </c>
      <c r="B66" s="2" t="s">
        <v>118</v>
      </c>
      <c r="C66" s="2" t="s">
        <v>119</v>
      </c>
      <c r="D66" s="2" t="s">
        <v>17</v>
      </c>
      <c r="E66" s="2" t="s">
        <v>18</v>
      </c>
      <c r="F66" s="3" t="n">
        <f aca="false">'Assembly seats'!J200</f>
        <v>13889</v>
      </c>
      <c r="G66" s="4" t="n">
        <f aca="false">'Assembly seats'!K200</f>
        <v>0.0586801301280156</v>
      </c>
      <c r="H66" s="3" t="n">
        <f aca="false">'Assembly seats'!P200</f>
        <v>17736</v>
      </c>
      <c r="I66" s="5" t="n">
        <f aca="false">H66/F66</f>
        <v>1.27698178414573</v>
      </c>
      <c r="J66" s="2" t="s">
        <v>14</v>
      </c>
    </row>
    <row r="67" customFormat="false" ht="15" hidden="false" customHeight="false" outlineLevel="0" collapsed="false">
      <c r="A67" s="2" t="n">
        <v>42</v>
      </c>
      <c r="B67" s="2" t="s">
        <v>120</v>
      </c>
      <c r="C67" s="2" t="s">
        <v>70</v>
      </c>
      <c r="D67" s="2" t="s">
        <v>17</v>
      </c>
      <c r="E67" s="2" t="s">
        <v>18</v>
      </c>
      <c r="F67" s="3" t="n">
        <f aca="false">'Assembly seats'!J43</f>
        <v>12131</v>
      </c>
      <c r="G67" s="4" t="n">
        <f aca="false">'Assembly seats'!K43</f>
        <v>0.0570398164343885</v>
      </c>
      <c r="H67" s="3" t="n">
        <f aca="false">'Assembly seats'!P43</f>
        <v>15297</v>
      </c>
      <c r="I67" s="5" t="n">
        <f aca="false">H67/F67</f>
        <v>1.26098425521391</v>
      </c>
      <c r="J67" s="2" t="s">
        <v>14</v>
      </c>
    </row>
    <row r="68" customFormat="false" ht="15" hidden="false" customHeight="false" outlineLevel="0" collapsed="false">
      <c r="A68" s="2" t="n">
        <v>203</v>
      </c>
      <c r="B68" s="2" t="s">
        <v>121</v>
      </c>
      <c r="C68" s="2" t="s">
        <v>119</v>
      </c>
      <c r="D68" s="2" t="s">
        <v>25</v>
      </c>
      <c r="E68" s="2" t="s">
        <v>18</v>
      </c>
      <c r="F68" s="3" t="n">
        <f aca="false">'Assembly seats'!J204</f>
        <v>19638</v>
      </c>
      <c r="G68" s="4" t="n">
        <f aca="false">'Assembly seats'!K204</f>
        <v>0.0671276752111627</v>
      </c>
      <c r="H68" s="3" t="n">
        <f aca="false">'Assembly seats'!P204</f>
        <v>23899</v>
      </c>
      <c r="I68" s="5" t="n">
        <f aca="false">H68/F68</f>
        <v>1.21697728892963</v>
      </c>
      <c r="J68" s="2" t="s">
        <v>14</v>
      </c>
    </row>
    <row r="69" customFormat="false" ht="15" hidden="false" customHeight="false" outlineLevel="0" collapsed="false">
      <c r="A69" s="2" t="n">
        <v>273</v>
      </c>
      <c r="B69" s="2" t="s">
        <v>122</v>
      </c>
      <c r="C69" s="2" t="s">
        <v>46</v>
      </c>
      <c r="D69" s="2" t="s">
        <v>25</v>
      </c>
      <c r="E69" s="2" t="s">
        <v>18</v>
      </c>
      <c r="F69" s="3" t="n">
        <f aca="false">'Assembly seats'!J274</f>
        <v>11581</v>
      </c>
      <c r="G69" s="4" t="n">
        <f aca="false">'Assembly seats'!K274</f>
        <v>0.0403778031908959</v>
      </c>
      <c r="H69" s="3" t="n">
        <f aca="false">'Assembly seats'!P274</f>
        <v>13465</v>
      </c>
      <c r="I69" s="5" t="n">
        <f aca="false">H69/F69</f>
        <v>1.16268025213712</v>
      </c>
      <c r="J69" s="2" t="s">
        <v>14</v>
      </c>
    </row>
    <row r="70" customFormat="false" ht="15" hidden="false" customHeight="false" outlineLevel="0" collapsed="false">
      <c r="A70" s="2" t="n">
        <v>78</v>
      </c>
      <c r="B70" s="2" t="s">
        <v>123</v>
      </c>
      <c r="C70" s="2" t="s">
        <v>67</v>
      </c>
      <c r="D70" s="2" t="s">
        <v>21</v>
      </c>
      <c r="E70" s="2" t="s">
        <v>22</v>
      </c>
      <c r="F70" s="3" t="n">
        <f aca="false">'Assembly seats'!J79</f>
        <v>11381</v>
      </c>
      <c r="G70" s="4" t="n">
        <f aca="false">'Assembly seats'!K79</f>
        <v>0.0476049056351225</v>
      </c>
      <c r="H70" s="3" t="n">
        <f aca="false">'Assembly seats'!P79</f>
        <v>13065</v>
      </c>
      <c r="I70" s="5" t="n">
        <f aca="false">H70/F70</f>
        <v>1.14796590809243</v>
      </c>
      <c r="J70" s="2" t="s">
        <v>14</v>
      </c>
    </row>
    <row r="71" customFormat="false" ht="15" hidden="false" customHeight="false" outlineLevel="0" collapsed="false">
      <c r="A71" s="2" t="n">
        <v>142</v>
      </c>
      <c r="B71" s="2" t="s">
        <v>124</v>
      </c>
      <c r="C71" s="2" t="s">
        <v>125</v>
      </c>
      <c r="D71" s="2" t="s">
        <v>17</v>
      </c>
      <c r="E71" s="2" t="s">
        <v>18</v>
      </c>
      <c r="F71" s="3" t="n">
        <f aca="false">'Assembly seats'!J143</f>
        <v>26408</v>
      </c>
      <c r="G71" s="4" t="n">
        <f aca="false">'Assembly seats'!K143</f>
        <v>0.136549548850798</v>
      </c>
      <c r="H71" s="3" t="n">
        <f aca="false">'Assembly seats'!P143</f>
        <v>29793</v>
      </c>
      <c r="I71" s="5" t="n">
        <f aca="false">H71/F71</f>
        <v>1.12818085428658</v>
      </c>
      <c r="J71" s="2" t="s">
        <v>91</v>
      </c>
    </row>
    <row r="72" customFormat="false" ht="15" hidden="false" customHeight="false" outlineLevel="0" collapsed="false">
      <c r="A72" s="2" t="n">
        <v>98</v>
      </c>
      <c r="B72" s="2" t="s">
        <v>126</v>
      </c>
      <c r="C72" s="2" t="s">
        <v>58</v>
      </c>
      <c r="D72" s="2" t="s">
        <v>25</v>
      </c>
      <c r="E72" s="2" t="s">
        <v>18</v>
      </c>
      <c r="F72" s="3" t="n">
        <f aca="false">'Assembly seats'!J99</f>
        <v>13244</v>
      </c>
      <c r="G72" s="4" t="n">
        <f aca="false">'Assembly seats'!K99</f>
        <v>0.0469098108943821</v>
      </c>
      <c r="H72" s="3" t="n">
        <f aca="false">'Assembly seats'!P99</f>
        <v>14922</v>
      </c>
      <c r="I72" s="5" t="n">
        <f aca="false">H72/F72</f>
        <v>1.12669888251284</v>
      </c>
      <c r="J72" s="2" t="s">
        <v>14</v>
      </c>
    </row>
    <row r="73" customFormat="false" ht="15" hidden="false" customHeight="false" outlineLevel="0" collapsed="false">
      <c r="A73" s="2" t="n">
        <v>202</v>
      </c>
      <c r="B73" s="2" t="s">
        <v>127</v>
      </c>
      <c r="C73" s="2" t="s">
        <v>119</v>
      </c>
      <c r="D73" s="2" t="s">
        <v>27</v>
      </c>
      <c r="E73" s="2" t="s">
        <v>18</v>
      </c>
      <c r="F73" s="3" t="n">
        <f aca="false">'Assembly seats'!J203</f>
        <v>24188</v>
      </c>
      <c r="G73" s="4" t="n">
        <f aca="false">'Assembly seats'!K203</f>
        <v>0.0849810981351097</v>
      </c>
      <c r="H73" s="3" t="n">
        <f aca="false">'Assembly seats'!P203</f>
        <v>25773</v>
      </c>
      <c r="I73" s="5" t="n">
        <f aca="false">H73/F73</f>
        <v>1.06552836117083</v>
      </c>
      <c r="J73" s="2" t="s">
        <v>14</v>
      </c>
    </row>
    <row r="74" customFormat="false" ht="15" hidden="false" customHeight="false" outlineLevel="0" collapsed="false">
      <c r="A74" s="2" t="n">
        <v>132</v>
      </c>
      <c r="B74" s="2" t="s">
        <v>128</v>
      </c>
      <c r="C74" s="2" t="s">
        <v>39</v>
      </c>
      <c r="D74" s="2" t="s">
        <v>17</v>
      </c>
      <c r="E74" s="2" t="s">
        <v>18</v>
      </c>
      <c r="F74" s="3" t="n">
        <f aca="false">'Assembly seats'!J133</f>
        <v>36875</v>
      </c>
      <c r="G74" s="4" t="n">
        <f aca="false">'Assembly seats'!K133</f>
        <v>0.105323439356549</v>
      </c>
      <c r="H74" s="3" t="n">
        <f aca="false">'Assembly seats'!P133</f>
        <v>38112</v>
      </c>
      <c r="I74" s="5" t="n">
        <f aca="false">H74/F74</f>
        <v>1.03354576271186</v>
      </c>
      <c r="J74" s="2" t="s">
        <v>14</v>
      </c>
    </row>
    <row r="75" customFormat="false" ht="15" hidden="false" customHeight="false" outlineLevel="0" collapsed="false">
      <c r="A75" s="2" t="n">
        <v>117</v>
      </c>
      <c r="B75" s="2" t="s">
        <v>129</v>
      </c>
      <c r="C75" s="2" t="s">
        <v>130</v>
      </c>
      <c r="D75" s="2" t="s">
        <v>25</v>
      </c>
      <c r="E75" s="2" t="s">
        <v>18</v>
      </c>
      <c r="F75" s="3" t="n">
        <f aca="false">'Assembly seats'!J118</f>
        <v>8432</v>
      </c>
      <c r="G75" s="4" t="n">
        <f aca="false">'Assembly seats'!K118</f>
        <v>0.0353294115675331</v>
      </c>
      <c r="H75" s="3" t="n">
        <f aca="false">'Assembly seats'!P118</f>
        <v>8719</v>
      </c>
      <c r="I75" s="5" t="n">
        <f aca="false">H75/F75</f>
        <v>1.03403700189753</v>
      </c>
      <c r="J75" s="2" t="s">
        <v>14</v>
      </c>
    </row>
    <row r="76" customFormat="false" ht="15" hidden="false" customHeight="false" outlineLevel="0" collapsed="false">
      <c r="A76" s="2" t="n">
        <v>108</v>
      </c>
      <c r="B76" s="2" t="s">
        <v>131</v>
      </c>
      <c r="C76" s="2" t="s">
        <v>41</v>
      </c>
      <c r="D76" s="2" t="s">
        <v>27</v>
      </c>
      <c r="E76" s="2" t="s">
        <v>18</v>
      </c>
      <c r="F76" s="3" t="n">
        <f aca="false">'Assembly seats'!J109</f>
        <v>16351</v>
      </c>
      <c r="G76" s="4" t="n">
        <f aca="false">'Assembly seats'!K109</f>
        <v>0.0657789399577592</v>
      </c>
      <c r="H76" s="3" t="n">
        <f aca="false">'Assembly seats'!P109</f>
        <v>16862</v>
      </c>
      <c r="I76" s="5" t="n">
        <f aca="false">H76/F76</f>
        <v>1.03125191119809</v>
      </c>
      <c r="J76" s="2" t="s">
        <v>14</v>
      </c>
    </row>
    <row r="77" customFormat="false" ht="15" hidden="false" customHeight="false" outlineLevel="0" collapsed="false">
      <c r="A77" s="2" t="n">
        <v>51</v>
      </c>
      <c r="B77" s="2" t="s">
        <v>132</v>
      </c>
      <c r="C77" s="2" t="s">
        <v>133</v>
      </c>
      <c r="D77" s="2" t="s">
        <v>21</v>
      </c>
      <c r="E77" s="2" t="s">
        <v>22</v>
      </c>
      <c r="F77" s="3" t="n">
        <f aca="false">'Assembly seats'!J52</f>
        <v>12825</v>
      </c>
      <c r="G77" s="4" t="n">
        <f aca="false">'Assembly seats'!K52</f>
        <v>0.0593989245668394</v>
      </c>
      <c r="H77" s="3" t="n">
        <f aca="false">'Assembly seats'!P52</f>
        <v>13187</v>
      </c>
      <c r="I77" s="5" t="n">
        <f aca="false">H77/F77</f>
        <v>1.0282261208577</v>
      </c>
      <c r="J77" s="2" t="s">
        <v>14</v>
      </c>
    </row>
    <row r="78" customFormat="false" ht="15" hidden="false" customHeight="false" outlineLevel="0" collapsed="false">
      <c r="A78" s="2" t="n">
        <v>57</v>
      </c>
      <c r="B78" s="2" t="s">
        <v>134</v>
      </c>
      <c r="C78" s="2" t="s">
        <v>60</v>
      </c>
      <c r="D78" s="2" t="s">
        <v>21</v>
      </c>
      <c r="E78" s="2" t="s">
        <v>22</v>
      </c>
      <c r="F78" s="3" t="n">
        <f aca="false">'Assembly seats'!J58</f>
        <v>28467</v>
      </c>
      <c r="G78" s="4" t="n">
        <f aca="false">'Assembly seats'!K58</f>
        <v>0.113576789112715</v>
      </c>
      <c r="H78" s="3" t="n">
        <f aca="false">'Assembly seats'!P58</f>
        <v>28745</v>
      </c>
      <c r="I78" s="5" t="n">
        <f aca="false">H78/F78</f>
        <v>1.00976569361015</v>
      </c>
      <c r="J78" s="2" t="s">
        <v>14</v>
      </c>
    </row>
    <row r="79" customFormat="false" ht="15" hidden="false" customHeight="false" outlineLevel="0" collapsed="false">
      <c r="A79" s="2" t="n">
        <v>94</v>
      </c>
      <c r="B79" s="2" t="s">
        <v>108</v>
      </c>
      <c r="C79" s="2" t="s">
        <v>108</v>
      </c>
      <c r="D79" s="2" t="s">
        <v>17</v>
      </c>
      <c r="E79" s="2" t="s">
        <v>18</v>
      </c>
      <c r="F79" s="3" t="n">
        <f aca="false">'Assembly seats'!J95</f>
        <v>10926</v>
      </c>
      <c r="G79" s="4" t="n">
        <f aca="false">'Assembly seats'!K95</f>
        <v>0.047536796856985</v>
      </c>
      <c r="H79" s="3" t="n">
        <f aca="false">'Assembly seats'!P95</f>
        <v>10979</v>
      </c>
      <c r="I79" s="5" t="n">
        <f aca="false">H79/F79</f>
        <v>1.00485081457075</v>
      </c>
      <c r="J79" s="2" t="s">
        <v>14</v>
      </c>
    </row>
    <row r="81" customFormat="false" ht="15" hidden="false" customHeight="false" outlineLevel="0" collapsed="false">
      <c r="A81" s="6" t="s">
        <v>135</v>
      </c>
      <c r="F81" s="6" t="n">
        <f aca="false">COUNTIF('Assembly seats'!R:R,"Yes")</f>
        <v>78</v>
      </c>
    </row>
    <row r="82" customFormat="false" ht="15" hidden="false" customHeight="false" outlineLevel="0" collapsed="false">
      <c r="A82" s="2" t="s">
        <v>136</v>
      </c>
      <c r="F82" s="7" t="n">
        <f aca="false">COUNTIFS('Assembly seats'!R:R,"Yes",'Assembly seats'!F:F,"Mahayuti")</f>
        <v>53</v>
      </c>
    </row>
    <row r="83" customFormat="false" ht="15" hidden="false" customHeight="false" outlineLevel="0" collapsed="false">
      <c r="A83" s="2" t="s">
        <v>137</v>
      </c>
      <c r="F83" s="7" t="n">
        <f aca="false">COUNTIFS('Assembly seats'!R:R,"Yes",'Assembly seats'!F:F,"MVA")</f>
        <v>22</v>
      </c>
    </row>
    <row r="84" customFormat="false" ht="15" hidden="false" customHeight="false" outlineLevel="0" collapsed="false">
      <c r="A84" s="2" t="s">
        <v>138</v>
      </c>
      <c r="F84" s="7" t="n">
        <f aca="false">COUNTIF('Assembly seats'!S:S,"Yes")</f>
        <v>57</v>
      </c>
    </row>
    <row r="85" customFormat="false" ht="15" hidden="false" customHeight="false" outlineLevel="0" collapsed="false">
      <c r="A85" s="8" t="s">
        <v>139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1" t="s">
        <v>2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</row>
    <row r="2" customFormat="false" ht="15" hidden="false" customHeight="false" outlineLevel="0" collapsed="false">
      <c r="A2" s="2" t="s">
        <v>33</v>
      </c>
      <c r="B2" s="9" t="n">
        <v>1981866</v>
      </c>
      <c r="C2" s="3" t="n">
        <f aca="false">SUMIFS('Assembly seats'!$N:$N,'Assembly seats'!$D:$D,A2)</f>
        <v>2052474</v>
      </c>
      <c r="D2" s="10" t="n">
        <f aca="false">C2-B2</f>
        <v>70608</v>
      </c>
      <c r="E2" s="11" t="n">
        <f aca="false">D2/B2</f>
        <v>0.0356270302835812</v>
      </c>
      <c r="F2" s="12" t="n">
        <f aca="false">COUNTIFS('Assembly seats'!$D:$D,A2,'Assembly seats'!$F:$F,"Mahayuti")</f>
        <v>5</v>
      </c>
      <c r="G2" s="12" t="n">
        <f aca="false">COUNTIFS('Assembly seats'!$D:$D,A2,'Assembly seats'!$F:$F,"MVA")</f>
        <v>1</v>
      </c>
      <c r="H2" s="4" t="n">
        <f aca="false">AVERAGEIFS('Assembly seats'!$K:$K,'Assembly seats'!$D:$D,A2)</f>
        <v>0.0942501586138397</v>
      </c>
    </row>
    <row r="3" customFormat="false" ht="15" hidden="false" customHeight="false" outlineLevel="0" collapsed="false">
      <c r="A3" s="2" t="s">
        <v>31</v>
      </c>
      <c r="B3" s="9" t="n">
        <v>1890814</v>
      </c>
      <c r="C3" s="3" t="n">
        <f aca="false">SUMIFS('Assembly seats'!$N:$N,'Assembly seats'!$D:$D,A3)</f>
        <v>1962286</v>
      </c>
      <c r="D3" s="10" t="n">
        <f aca="false">C3-B3</f>
        <v>71472</v>
      </c>
      <c r="E3" s="11" t="n">
        <f aca="false">D3/B3</f>
        <v>0.0377995931910807</v>
      </c>
      <c r="F3" s="12" t="n">
        <f aca="false">COUNTIFS('Assembly seats'!$D:$D,A3,'Assembly seats'!$F:$F,"Mahayuti")</f>
        <v>3</v>
      </c>
      <c r="G3" s="12" t="n">
        <f aca="false">COUNTIFS('Assembly seats'!$D:$D,A3,'Assembly seats'!$F:$F,"MVA")</f>
        <v>3</v>
      </c>
      <c r="H3" s="4" t="n">
        <f aca="false">AVERAGEIFS('Assembly seats'!$K:$K,'Assembly seats'!$D:$D,A3)</f>
        <v>0.0955956427788585</v>
      </c>
    </row>
    <row r="4" customFormat="false" ht="15" hidden="false" customHeight="false" outlineLevel="0" collapsed="false">
      <c r="A4" s="2" t="s">
        <v>70</v>
      </c>
      <c r="B4" s="9" t="n">
        <v>1836078</v>
      </c>
      <c r="C4" s="3" t="n">
        <f aca="false">SUMIFS('Assembly seats'!$N:$N,'Assembly seats'!$D:$D,A4)</f>
        <v>1937493</v>
      </c>
      <c r="D4" s="10" t="n">
        <f aca="false">C4-B4</f>
        <v>101415</v>
      </c>
      <c r="E4" s="11" t="n">
        <f aca="false">D4/B4</f>
        <v>0.0552345815373857</v>
      </c>
      <c r="F4" s="12" t="n">
        <f aca="false">COUNTIFS('Assembly seats'!$D:$D,A4,'Assembly seats'!$F:$F,"Mahayuti")</f>
        <v>4</v>
      </c>
      <c r="G4" s="12" t="n">
        <f aca="false">COUNTIFS('Assembly seats'!$D:$D,A4,'Assembly seats'!$F:$F,"MVA")</f>
        <v>1</v>
      </c>
      <c r="H4" s="4" t="n">
        <f aca="false">AVERAGEIFS('Assembly seats'!$K:$K,'Assembly seats'!$D:$D,A4)</f>
        <v>0.168569280051532</v>
      </c>
    </row>
    <row r="5" customFormat="false" ht="15" hidden="false" customHeight="false" outlineLevel="0" collapsed="false">
      <c r="A5" s="2" t="s">
        <v>41</v>
      </c>
      <c r="B5" s="9" t="n">
        <v>2059710</v>
      </c>
      <c r="C5" s="3" t="n">
        <f aca="false">SUMIFS('Assembly seats'!$N:$N,'Assembly seats'!$D:$D,A5)</f>
        <v>2148710</v>
      </c>
      <c r="D5" s="10" t="n">
        <f aca="false">C5-B5</f>
        <v>89000</v>
      </c>
      <c r="E5" s="11" t="n">
        <f aca="false">D5/B5</f>
        <v>0.0432099664515878</v>
      </c>
      <c r="F5" s="12" t="n">
        <f aca="false">COUNTIFS('Assembly seats'!$D:$D,A5,'Assembly seats'!$F:$F,"Mahayuti")</f>
        <v>6</v>
      </c>
      <c r="G5" s="12" t="n">
        <f aca="false">COUNTIFS('Assembly seats'!$D:$D,A5,'Assembly seats'!$F:$F,"MVA")</f>
        <v>0</v>
      </c>
      <c r="H5" s="4" t="n">
        <f aca="false">AVERAGEIFS('Assembly seats'!$K:$K,'Assembly seats'!$D:$D,A5)</f>
        <v>0.0632398029859638</v>
      </c>
    </row>
    <row r="6" customFormat="false" ht="15" hidden="false" customHeight="false" outlineLevel="0" collapsed="false">
      <c r="A6" s="2" t="s">
        <v>119</v>
      </c>
      <c r="B6" s="9" t="n">
        <v>2372668</v>
      </c>
      <c r="C6" s="3" t="n">
        <f aca="false">SUMIFS('Assembly seats'!$N:$N,'Assembly seats'!$D:$D,A6)</f>
        <v>2512204</v>
      </c>
      <c r="D6" s="10" t="n">
        <f aca="false">C6-B6</f>
        <v>139536</v>
      </c>
      <c r="E6" s="11" t="n">
        <f aca="false">D6/B6</f>
        <v>0.05880974497907</v>
      </c>
      <c r="F6" s="12" t="n">
        <f aca="false">COUNTIFS('Assembly seats'!$D:$D,A6,'Assembly seats'!$F:$F,"Mahayuti")</f>
        <v>6</v>
      </c>
      <c r="G6" s="12" t="n">
        <f aca="false">COUNTIFS('Assembly seats'!$D:$D,A6,'Assembly seats'!$F:$F,"MVA")</f>
        <v>0</v>
      </c>
      <c r="H6" s="4" t="n">
        <f aca="false">AVERAGEIFS('Assembly seats'!$K:$K,'Assembly seats'!$D:$D,A6)</f>
        <v>0.13543220870876</v>
      </c>
    </row>
    <row r="7" customFormat="false" ht="15" hidden="false" customHeight="false" outlineLevel="0" collapsed="false">
      <c r="A7" s="2" t="s">
        <v>56</v>
      </c>
      <c r="B7" s="9" t="n">
        <v>2142547</v>
      </c>
      <c r="C7" s="3" t="n">
        <f aca="false">SUMIFS('Assembly seats'!$N:$N,'Assembly seats'!$D:$D,A7)</f>
        <v>2227844</v>
      </c>
      <c r="D7" s="10" t="n">
        <f aca="false">C7-B7</f>
        <v>85297</v>
      </c>
      <c r="E7" s="11" t="n">
        <f aca="false">D7/B7</f>
        <v>0.0398110286495466</v>
      </c>
      <c r="F7" s="12" t="n">
        <f aca="false">COUNTIFS('Assembly seats'!$D:$D,A7,'Assembly seats'!$F:$F,"Mahayuti")</f>
        <v>5</v>
      </c>
      <c r="G7" s="12" t="n">
        <f aca="false">COUNTIFS('Assembly seats'!$D:$D,A7,'Assembly seats'!$F:$F,"MVA")</f>
        <v>1</v>
      </c>
      <c r="H7" s="4" t="n">
        <f aca="false">AVERAGEIFS('Assembly seats'!$K:$K,'Assembly seats'!$D:$D,A7)</f>
        <v>0.171370184235595</v>
      </c>
    </row>
    <row r="8" customFormat="false" ht="15" hidden="false" customHeight="false" outlineLevel="0" collapsed="false">
      <c r="A8" s="2" t="s">
        <v>20</v>
      </c>
      <c r="B8" s="9" t="n">
        <v>1827188</v>
      </c>
      <c r="C8" s="3" t="n">
        <f aca="false">SUMIFS('Assembly seats'!$N:$N,'Assembly seats'!$D:$D,A8)</f>
        <v>1872471</v>
      </c>
      <c r="D8" s="10" t="n">
        <f aca="false">C8-B8</f>
        <v>45283</v>
      </c>
      <c r="E8" s="11" t="n">
        <f aca="false">D8/B8</f>
        <v>0.0247828904305414</v>
      </c>
      <c r="F8" s="12" t="n">
        <f aca="false">COUNTIFS('Assembly seats'!$D:$D,A8,'Assembly seats'!$F:$F,"Mahayuti")</f>
        <v>5</v>
      </c>
      <c r="G8" s="12" t="n">
        <f aca="false">COUNTIFS('Assembly seats'!$D:$D,A8,'Assembly seats'!$F:$F,"MVA")</f>
        <v>1</v>
      </c>
      <c r="H8" s="4" t="n">
        <f aca="false">AVERAGEIFS('Assembly seats'!$K:$K,'Assembly seats'!$D:$D,A8)</f>
        <v>0.169607553923504</v>
      </c>
    </row>
    <row r="9" customFormat="false" ht="15" hidden="false" customHeight="false" outlineLevel="0" collapsed="false">
      <c r="A9" s="2" t="s">
        <v>29</v>
      </c>
      <c r="B9" s="9" t="n">
        <v>2087244</v>
      </c>
      <c r="C9" s="3" t="n">
        <f aca="false">SUMIFS('Assembly seats'!$N:$N,'Assembly seats'!$D:$D,A9)</f>
        <v>2247087</v>
      </c>
      <c r="D9" s="10" t="n">
        <f aca="false">C9-B9</f>
        <v>159843</v>
      </c>
      <c r="E9" s="11" t="n">
        <f aca="false">D9/B9</f>
        <v>0.0765808884826115</v>
      </c>
      <c r="F9" s="12" t="n">
        <f aca="false">COUNTIFS('Assembly seats'!$D:$D,A9,'Assembly seats'!$F:$F,"Mahayuti")</f>
        <v>5</v>
      </c>
      <c r="G9" s="12" t="n">
        <f aca="false">COUNTIFS('Assembly seats'!$D:$D,A9,'Assembly seats'!$F:$F,"MVA")</f>
        <v>0</v>
      </c>
      <c r="H9" s="4" t="n">
        <f aca="false">AVERAGEIFS('Assembly seats'!$K:$K,'Assembly seats'!$D:$D,A9)</f>
        <v>0.17150587567138</v>
      </c>
    </row>
    <row r="10" customFormat="false" ht="15" hidden="false" customHeight="false" outlineLevel="0" collapsed="false">
      <c r="A10" s="2" t="s">
        <v>26</v>
      </c>
      <c r="B10" s="9" t="n">
        <v>1782700</v>
      </c>
      <c r="C10" s="3" t="n">
        <f aca="false">SUMIFS('Assembly seats'!$N:$N,'Assembly seats'!$D:$D,A10)</f>
        <v>1846115</v>
      </c>
      <c r="D10" s="10" t="n">
        <f aca="false">C10-B10</f>
        <v>63415</v>
      </c>
      <c r="E10" s="11" t="n">
        <f aca="false">D10/B10</f>
        <v>0.0355724462893364</v>
      </c>
      <c r="F10" s="12" t="n">
        <f aca="false">COUNTIFS('Assembly seats'!$D:$D,A10,'Assembly seats'!$F:$F,"Mahayuti")</f>
        <v>5</v>
      </c>
      <c r="G10" s="12" t="n">
        <f aca="false">COUNTIFS('Assembly seats'!$D:$D,A10,'Assembly seats'!$F:$F,"MVA")</f>
        <v>1</v>
      </c>
      <c r="H10" s="4" t="n">
        <f aca="false">AVERAGEIFS('Assembly seats'!$K:$K,'Assembly seats'!$D:$D,A10)</f>
        <v>0.0425590930582855</v>
      </c>
    </row>
    <row r="11" customFormat="false" ht="15" hidden="false" customHeight="false" outlineLevel="0" collapsed="false">
      <c r="A11" s="2" t="s">
        <v>69</v>
      </c>
      <c r="B11" s="9" t="n">
        <v>1837906</v>
      </c>
      <c r="C11" s="3" t="n">
        <f aca="false">SUMIFS('Assembly seats'!$N:$N,'Assembly seats'!$D:$D,A11)</f>
        <v>1901657</v>
      </c>
      <c r="D11" s="10" t="n">
        <f aca="false">C11-B11</f>
        <v>63751</v>
      </c>
      <c r="E11" s="11" t="n">
        <f aca="false">D11/B11</f>
        <v>0.0346867576470179</v>
      </c>
      <c r="F11" s="12" t="n">
        <f aca="false">COUNTIFS('Assembly seats'!$D:$D,A11,'Assembly seats'!$F:$F,"Mahayuti")</f>
        <v>5</v>
      </c>
      <c r="G11" s="12" t="n">
        <f aca="false">COUNTIFS('Assembly seats'!$D:$D,A11,'Assembly seats'!$F:$F,"MVA")</f>
        <v>1</v>
      </c>
      <c r="H11" s="4" t="n">
        <f aca="false">AVERAGEIFS('Assembly seats'!$K:$K,'Assembly seats'!$D:$D,A11)</f>
        <v>0.0846450709632905</v>
      </c>
    </row>
    <row r="12" customFormat="false" ht="15" hidden="false" customHeight="false" outlineLevel="0" collapsed="false">
      <c r="A12" s="2" t="s">
        <v>11</v>
      </c>
      <c r="B12" s="9" t="n">
        <v>2022061</v>
      </c>
      <c r="C12" s="3" t="n">
        <f aca="false">SUMIFS('Assembly seats'!$N:$N,'Assembly seats'!$D:$D,A12)</f>
        <v>2137330</v>
      </c>
      <c r="D12" s="10" t="n">
        <f aca="false">C12-B12</f>
        <v>115269</v>
      </c>
      <c r="E12" s="11" t="n">
        <f aca="false">D12/B12</f>
        <v>0.0570056986411389</v>
      </c>
      <c r="F12" s="12" t="n">
        <f aca="false">COUNTIFS('Assembly seats'!$D:$D,A12,'Assembly seats'!$F:$F,"Mahayuti")</f>
        <v>5</v>
      </c>
      <c r="G12" s="12" t="n">
        <f aca="false">COUNTIFS('Assembly seats'!$D:$D,A12,'Assembly seats'!$F:$F,"MVA")</f>
        <v>0</v>
      </c>
      <c r="H12" s="4" t="n">
        <f aca="false">AVERAGEIFS('Assembly seats'!$K:$K,'Assembly seats'!$D:$D,A12)</f>
        <v>0.317047275171609</v>
      </c>
    </row>
    <row r="13" customFormat="false" ht="15" hidden="false" customHeight="false" outlineLevel="0" collapsed="false">
      <c r="A13" s="2" t="s">
        <v>130</v>
      </c>
      <c r="B13" s="9" t="n">
        <v>1853387</v>
      </c>
      <c r="C13" s="3" t="n">
        <f aca="false">SUMIFS('Assembly seats'!$N:$N,'Assembly seats'!$D:$D,A13)</f>
        <v>1908487</v>
      </c>
      <c r="D13" s="10" t="n">
        <f aca="false">C13-B13</f>
        <v>55100</v>
      </c>
      <c r="E13" s="11" t="n">
        <f aca="false">D13/B13</f>
        <v>0.0297293549593258</v>
      </c>
      <c r="F13" s="12" t="n">
        <f aca="false">COUNTIFS('Assembly seats'!$D:$D,A13,'Assembly seats'!$F:$F,"Mahayuti")</f>
        <v>6</v>
      </c>
      <c r="G13" s="12" t="n">
        <f aca="false">COUNTIFS('Assembly seats'!$D:$D,A13,'Assembly seats'!$F:$F,"MVA")</f>
        <v>0</v>
      </c>
      <c r="H13" s="4" t="n">
        <f aca="false">AVERAGEIFS('Assembly seats'!$K:$K,'Assembly seats'!$D:$D,A13)</f>
        <v>0.169545207118946</v>
      </c>
    </row>
    <row r="14" customFormat="false" ht="15" hidden="false" customHeight="false" outlineLevel="0" collapsed="false">
      <c r="A14" s="2" t="s">
        <v>147</v>
      </c>
      <c r="B14" s="9" t="n">
        <v>1617207</v>
      </c>
      <c r="C14" s="3" t="n">
        <f aca="false">SUMIFS('Assembly seats'!$N:$N,'Assembly seats'!$D:$D,A14)</f>
        <v>1647447</v>
      </c>
      <c r="D14" s="10" t="n">
        <f aca="false">C14-B14</f>
        <v>30240</v>
      </c>
      <c r="E14" s="11" t="n">
        <f aca="false">D14/B14</f>
        <v>0.0186989049639286</v>
      </c>
      <c r="F14" s="12" t="n">
        <f aca="false">COUNTIFS('Assembly seats'!$D:$D,A14,'Assembly seats'!$F:$F,"Mahayuti")</f>
        <v>4</v>
      </c>
      <c r="G14" s="12" t="n">
        <f aca="false">COUNTIFS('Assembly seats'!$D:$D,A14,'Assembly seats'!$F:$F,"MVA")</f>
        <v>2</v>
      </c>
      <c r="H14" s="4" t="n">
        <f aca="false">AVERAGEIFS('Assembly seats'!$K:$K,'Assembly seats'!$D:$D,A14)</f>
        <v>0.0764054628301054</v>
      </c>
    </row>
    <row r="15" customFormat="false" ht="15" hidden="false" customHeight="false" outlineLevel="0" collapsed="false">
      <c r="A15" s="2" t="s">
        <v>148</v>
      </c>
      <c r="B15" s="9" t="n">
        <v>1814277</v>
      </c>
      <c r="C15" s="3" t="n">
        <f aca="false">SUMIFS('Assembly seats'!$N:$N,'Assembly seats'!$D:$D,A15)</f>
        <v>1877604</v>
      </c>
      <c r="D15" s="10" t="n">
        <f aca="false">C15-B15</f>
        <v>63327</v>
      </c>
      <c r="E15" s="11" t="n">
        <f aca="false">D15/B15</f>
        <v>0.0349048133223317</v>
      </c>
      <c r="F15" s="12" t="n">
        <f aca="false">COUNTIFS('Assembly seats'!$D:$D,A15,'Assembly seats'!$F:$F,"Mahayuti")</f>
        <v>2</v>
      </c>
      <c r="G15" s="12" t="n">
        <f aca="false">COUNTIFS('Assembly seats'!$D:$D,A15,'Assembly seats'!$F:$F,"MVA")</f>
        <v>1</v>
      </c>
      <c r="H15" s="4" t="n">
        <f aca="false">AVERAGEIFS('Assembly seats'!$K:$K,'Assembly seats'!$D:$D,A15)</f>
        <v>0.149165500249669</v>
      </c>
    </row>
    <row r="16" customFormat="false" ht="15" hidden="false" customHeight="false" outlineLevel="0" collapsed="false">
      <c r="A16" s="2" t="s">
        <v>108</v>
      </c>
      <c r="B16" s="9" t="n">
        <v>1817734</v>
      </c>
      <c r="C16" s="3" t="n">
        <f aca="false">SUMIFS('Assembly seats'!$N:$N,'Assembly seats'!$D:$D,A16)</f>
        <v>1879649</v>
      </c>
      <c r="D16" s="10" t="n">
        <f aca="false">C16-B16</f>
        <v>61915</v>
      </c>
      <c r="E16" s="11" t="n">
        <f aca="false">D16/B16</f>
        <v>0.0340616393817797</v>
      </c>
      <c r="F16" s="12" t="n">
        <f aca="false">COUNTIFS('Assembly seats'!$D:$D,A16,'Assembly seats'!$F:$F,"Mahayuti")</f>
        <v>6</v>
      </c>
      <c r="G16" s="12" t="n">
        <f aca="false">COUNTIFS('Assembly seats'!$D:$D,A16,'Assembly seats'!$F:$F,"MVA")</f>
        <v>0</v>
      </c>
      <c r="H16" s="4" t="n">
        <f aca="false">AVERAGEIFS('Assembly seats'!$K:$K,'Assembly seats'!$D:$D,A16)</f>
        <v>0.0897556237483849</v>
      </c>
    </row>
    <row r="17" customFormat="false" ht="15" hidden="false" customHeight="false" outlineLevel="0" collapsed="false">
      <c r="A17" s="2" t="s">
        <v>149</v>
      </c>
      <c r="B17" s="9" t="n">
        <v>1994046</v>
      </c>
      <c r="C17" s="3" t="n">
        <f aca="false">SUMIFS('Assembly seats'!$N:$N,'Assembly seats'!$D:$D,A17)</f>
        <v>2081547</v>
      </c>
      <c r="D17" s="10" t="n">
        <f aca="false">C17-B17</f>
        <v>87501</v>
      </c>
      <c r="E17" s="11" t="n">
        <f aca="false">D17/B17</f>
        <v>0.0438811341363238</v>
      </c>
      <c r="F17" s="12" t="n">
        <f aca="false">COUNTIFS('Assembly seats'!$D:$D,A17,'Assembly seats'!$F:$F,"Mahayuti")</f>
        <v>6</v>
      </c>
      <c r="G17" s="12" t="n">
        <f aca="false">COUNTIFS('Assembly seats'!$D:$D,A17,'Assembly seats'!$F:$F,"MVA")</f>
        <v>0</v>
      </c>
      <c r="H17" s="4" t="n">
        <f aca="false">AVERAGEIFS('Assembly seats'!$K:$K,'Assembly seats'!$D:$D,A17)</f>
        <v>0.264471463147776</v>
      </c>
    </row>
    <row r="18" customFormat="false" ht="15" hidden="false" customHeight="false" outlineLevel="0" collapsed="false">
      <c r="A18" s="2" t="s">
        <v>49</v>
      </c>
      <c r="B18" s="9" t="n">
        <v>1967574</v>
      </c>
      <c r="C18" s="3" t="n">
        <f aca="false">SUMIFS('Assembly seats'!$N:$N,'Assembly seats'!$D:$D,A18)</f>
        <v>2053125</v>
      </c>
      <c r="D18" s="10" t="n">
        <f aca="false">C18-B18</f>
        <v>85551</v>
      </c>
      <c r="E18" s="11" t="n">
        <f aca="false">D18/B18</f>
        <v>0.0434804485117205</v>
      </c>
      <c r="F18" s="12" t="n">
        <f aca="false">COUNTIFS('Assembly seats'!$D:$D,A18,'Assembly seats'!$F:$F,"Mahayuti")</f>
        <v>6</v>
      </c>
      <c r="G18" s="12" t="n">
        <f aca="false">COUNTIFS('Assembly seats'!$D:$D,A18,'Assembly seats'!$F:$F,"MVA")</f>
        <v>0</v>
      </c>
      <c r="H18" s="4" t="n">
        <f aca="false">AVERAGEIFS('Assembly seats'!$K:$K,'Assembly seats'!$D:$D,A18)</f>
        <v>0.109940626557314</v>
      </c>
    </row>
    <row r="19" customFormat="false" ht="15" hidden="false" customHeight="false" outlineLevel="0" collapsed="false">
      <c r="A19" s="2" t="s">
        <v>125</v>
      </c>
      <c r="B19" s="9" t="n">
        <v>2082221</v>
      </c>
      <c r="C19" s="3" t="n">
        <f aca="false">SUMIFS('Assembly seats'!$N:$N,'Assembly seats'!$D:$D,A19)</f>
        <v>2295909</v>
      </c>
      <c r="D19" s="10" t="n">
        <f aca="false">C19-B19</f>
        <v>213688</v>
      </c>
      <c r="E19" s="11" t="n">
        <f aca="false">D19/B19</f>
        <v>0.102625033557917</v>
      </c>
      <c r="F19" s="12" t="n">
        <f aca="false">COUNTIFS('Assembly seats'!$D:$D,A19,'Assembly seats'!$F:$F,"Mahayuti")</f>
        <v>5</v>
      </c>
      <c r="G19" s="12" t="n">
        <f aca="false">COUNTIFS('Assembly seats'!$D:$D,A19,'Assembly seats'!$F:$F,"MVA")</f>
        <v>1</v>
      </c>
      <c r="H19" s="4" t="n">
        <f aca="false">AVERAGEIFS('Assembly seats'!$K:$K,'Assembly seats'!$D:$D,A19)</f>
        <v>0.27557265862353</v>
      </c>
    </row>
    <row r="20" customFormat="false" ht="15" hidden="false" customHeight="false" outlineLevel="0" collapsed="false">
      <c r="A20" s="2" t="s">
        <v>46</v>
      </c>
      <c r="B20" s="9" t="n">
        <v>1936403</v>
      </c>
      <c r="C20" s="3" t="n">
        <f aca="false">SUMIFS('Assembly seats'!$N:$N,'Assembly seats'!$D:$D,A20)</f>
        <v>2015362</v>
      </c>
      <c r="D20" s="10" t="n">
        <f aca="false">C20-B20</f>
        <v>78959</v>
      </c>
      <c r="E20" s="11" t="n">
        <f aca="false">D20/B20</f>
        <v>0.0407761194338162</v>
      </c>
      <c r="F20" s="12" t="n">
        <f aca="false">COUNTIFS('Assembly seats'!$D:$D,A20,'Assembly seats'!$F:$F,"Mahayuti")</f>
        <v>5</v>
      </c>
      <c r="G20" s="12" t="n">
        <f aca="false">COUNTIFS('Assembly seats'!$D:$D,A20,'Assembly seats'!$F:$F,"MVA")</f>
        <v>0</v>
      </c>
      <c r="H20" s="4" t="n">
        <f aca="false">AVERAGEIFS('Assembly seats'!$K:$K,'Assembly seats'!$D:$D,A20)</f>
        <v>0.0825644303054501</v>
      </c>
    </row>
    <row r="21" customFormat="false" ht="15" hidden="false" customHeight="false" outlineLevel="0" collapsed="false">
      <c r="A21" s="2" t="s">
        <v>106</v>
      </c>
      <c r="B21" s="9" t="n">
        <v>1977042</v>
      </c>
      <c r="C21" s="3" t="n">
        <f aca="false">SUMIFS('Assembly seats'!$N:$N,'Assembly seats'!$D:$D,A21)</f>
        <v>2040090</v>
      </c>
      <c r="D21" s="10" t="n">
        <f aca="false">C21-B21</f>
        <v>63048</v>
      </c>
      <c r="E21" s="11" t="n">
        <f aca="false">D21/B21</f>
        <v>0.0318900660683992</v>
      </c>
      <c r="F21" s="12" t="n">
        <f aca="false">COUNTIFS('Assembly seats'!$D:$D,A21,'Assembly seats'!$F:$F,"Mahayuti")</f>
        <v>5</v>
      </c>
      <c r="G21" s="12" t="n">
        <f aca="false">COUNTIFS('Assembly seats'!$D:$D,A21,'Assembly seats'!$F:$F,"MVA")</f>
        <v>1</v>
      </c>
      <c r="H21" s="4" t="n">
        <f aca="false">AVERAGEIFS('Assembly seats'!$K:$K,'Assembly seats'!$D:$D,A21)</f>
        <v>0.120169108351669</v>
      </c>
    </row>
    <row r="22" customFormat="false" ht="15" hidden="false" customHeight="false" outlineLevel="0" collapsed="false">
      <c r="A22" s="2" t="s">
        <v>150</v>
      </c>
      <c r="B22" s="9" t="n">
        <v>1991454</v>
      </c>
      <c r="C22" s="3" t="n">
        <f aca="false">SUMIFS('Assembly seats'!$N:$N,'Assembly seats'!$D:$D,A22)</f>
        <v>2065070</v>
      </c>
      <c r="D22" s="10" t="n">
        <f aca="false">C22-B22</f>
        <v>73616</v>
      </c>
      <c r="E22" s="11" t="n">
        <f aca="false">D22/B22</f>
        <v>0.036965955527971</v>
      </c>
      <c r="F22" s="12" t="n">
        <f aca="false">COUNTIFS('Assembly seats'!$D:$D,A22,'Assembly seats'!$F:$F,"Mahayuti")</f>
        <v>2</v>
      </c>
      <c r="G22" s="12" t="n">
        <f aca="false">COUNTIFS('Assembly seats'!$D:$D,A22,'Assembly seats'!$F:$F,"MVA")</f>
        <v>3</v>
      </c>
      <c r="H22" s="4" t="n">
        <f aca="false">AVERAGEIFS('Assembly seats'!$K:$K,'Assembly seats'!$D:$D,A22)</f>
        <v>0.0986899892636388</v>
      </c>
    </row>
    <row r="23" customFormat="false" ht="15" hidden="false" customHeight="false" outlineLevel="0" collapsed="false">
      <c r="A23" s="2" t="s">
        <v>72</v>
      </c>
      <c r="B23" s="9" t="n">
        <v>2585018</v>
      </c>
      <c r="C23" s="3" t="n">
        <f aca="false">SUMIFS('Assembly seats'!$N:$N,'Assembly seats'!$D:$D,A23)</f>
        <v>2754306</v>
      </c>
      <c r="D23" s="10" t="n">
        <f aca="false">C23-B23</f>
        <v>169288</v>
      </c>
      <c r="E23" s="11" t="n">
        <f aca="false">D23/B23</f>
        <v>0.0654881319975335</v>
      </c>
      <c r="F23" s="12" t="n">
        <f aca="false">COUNTIFS('Assembly seats'!$D:$D,A23,'Assembly seats'!$F:$F,"Mahayuti")</f>
        <v>6</v>
      </c>
      <c r="G23" s="12" t="n">
        <f aca="false">COUNTIFS('Assembly seats'!$D:$D,A23,'Assembly seats'!$F:$F,"MVA")</f>
        <v>0</v>
      </c>
      <c r="H23" s="4" t="n">
        <f aca="false">AVERAGEIFS('Assembly seats'!$K:$K,'Assembly seats'!$D:$D,A23)</f>
        <v>0.169640455203035</v>
      </c>
    </row>
    <row r="24" customFormat="false" ht="15" hidden="false" customHeight="false" outlineLevel="0" collapsed="false">
      <c r="A24" s="2" t="s">
        <v>102</v>
      </c>
      <c r="B24" s="9" t="n">
        <v>1811942</v>
      </c>
      <c r="C24" s="3" t="n">
        <f aca="false">SUMIFS('Assembly seats'!$N:$N,'Assembly seats'!$D:$D,A24)</f>
        <v>1870509</v>
      </c>
      <c r="D24" s="10" t="n">
        <f aca="false">C24-B24</f>
        <v>58567</v>
      </c>
      <c r="E24" s="11" t="n">
        <f aca="false">D24/B24</f>
        <v>0.0323227785436841</v>
      </c>
      <c r="F24" s="12" t="n">
        <f aca="false">COUNTIFS('Assembly seats'!$D:$D,A24,'Assembly seats'!$F:$F,"Mahayuti")</f>
        <v>5</v>
      </c>
      <c r="G24" s="12" t="n">
        <f aca="false">COUNTIFS('Assembly seats'!$D:$D,A24,'Assembly seats'!$F:$F,"MVA")</f>
        <v>1</v>
      </c>
      <c r="H24" s="4" t="n">
        <f aca="false">AVERAGEIFS('Assembly seats'!$K:$K,'Assembly seats'!$D:$D,A24)</f>
        <v>0.357145289040992</v>
      </c>
    </row>
    <row r="25" customFormat="false" ht="15" hidden="false" customHeight="false" outlineLevel="0" collapsed="false">
      <c r="A25" s="2" t="s">
        <v>94</v>
      </c>
      <c r="B25" s="9" t="n">
        <v>1744128</v>
      </c>
      <c r="C25" s="3" t="n">
        <f aca="false">SUMIFS('Assembly seats'!$N:$N,'Assembly seats'!$D:$D,A25)</f>
        <v>1800143</v>
      </c>
      <c r="D25" s="10" t="n">
        <f aca="false">C25-B25</f>
        <v>56015</v>
      </c>
      <c r="E25" s="11" t="n">
        <f aca="false">D25/B25</f>
        <v>0.0321163354983121</v>
      </c>
      <c r="F25" s="12" t="n">
        <f aca="false">COUNTIFS('Assembly seats'!$D:$D,A25,'Assembly seats'!$F:$F,"Mahayuti")</f>
        <v>4</v>
      </c>
      <c r="G25" s="12" t="n">
        <f aca="false">COUNTIFS('Assembly seats'!$D:$D,A25,'Assembly seats'!$F:$F,"MVA")</f>
        <v>2</v>
      </c>
      <c r="H25" s="4" t="n">
        <f aca="false">AVERAGEIFS('Assembly seats'!$K:$K,'Assembly seats'!$D:$D,A25)</f>
        <v>0.119539445386569</v>
      </c>
    </row>
    <row r="26" customFormat="false" ht="15" hidden="false" customHeight="false" outlineLevel="0" collapsed="false">
      <c r="A26" s="2" t="s">
        <v>116</v>
      </c>
      <c r="B26" s="9" t="n">
        <v>1636890</v>
      </c>
      <c r="C26" s="3" t="n">
        <f aca="false">SUMIFS('Assembly seats'!$N:$N,'Assembly seats'!$D:$D,A26)</f>
        <v>1689715</v>
      </c>
      <c r="D26" s="10" t="n">
        <f aca="false">C26-B26</f>
        <v>52825</v>
      </c>
      <c r="E26" s="11" t="n">
        <f aca="false">D26/B26</f>
        <v>0.0322715637581023</v>
      </c>
      <c r="F26" s="12" t="n">
        <f aca="false">COUNTIFS('Assembly seats'!$D:$D,A26,'Assembly seats'!$F:$F,"Mahayuti")</f>
        <v>4</v>
      </c>
      <c r="G26" s="12" t="n">
        <f aca="false">COUNTIFS('Assembly seats'!$D:$D,A26,'Assembly seats'!$F:$F,"MVA")</f>
        <v>1</v>
      </c>
      <c r="H26" s="4" t="n">
        <f aca="false">AVERAGEIFS('Assembly seats'!$K:$K,'Assembly seats'!$D:$D,A26)</f>
        <v>0.170538405670538</v>
      </c>
    </row>
    <row r="27" customFormat="false" ht="15" hidden="false" customHeight="false" outlineLevel="0" collapsed="false">
      <c r="A27" s="2" t="s">
        <v>43</v>
      </c>
      <c r="B27" s="9" t="n">
        <v>1735088</v>
      </c>
      <c r="C27" s="3" t="n">
        <f aca="false">SUMIFS('Assembly seats'!$N:$N,'Assembly seats'!$D:$D,A27)</f>
        <v>1797715</v>
      </c>
      <c r="D27" s="10" t="n">
        <f aca="false">C27-B27</f>
        <v>62627</v>
      </c>
      <c r="E27" s="11" t="n">
        <f aca="false">D27/B27</f>
        <v>0.0360944228765342</v>
      </c>
      <c r="F27" s="12" t="n">
        <f aca="false">COUNTIFS('Assembly seats'!$D:$D,A27,'Assembly seats'!$F:$F,"Mahayuti")</f>
        <v>3</v>
      </c>
      <c r="G27" s="12" t="n">
        <f aca="false">COUNTIFS('Assembly seats'!$D:$D,A27,'Assembly seats'!$F:$F,"MVA")</f>
        <v>3</v>
      </c>
      <c r="H27" s="4" t="n">
        <f aca="false">AVERAGEIFS('Assembly seats'!$K:$K,'Assembly seats'!$D:$D,A27)</f>
        <v>0.0766252105472663</v>
      </c>
    </row>
    <row r="28" customFormat="false" ht="15" hidden="false" customHeight="false" outlineLevel="0" collapsed="false">
      <c r="A28" s="2" t="s">
        <v>151</v>
      </c>
      <c r="B28" s="9" t="n">
        <v>1536168</v>
      </c>
      <c r="C28" s="3" t="n">
        <f aca="false">SUMIFS('Assembly seats'!$N:$N,'Assembly seats'!$D:$D,A28)</f>
        <v>1567132</v>
      </c>
      <c r="D28" s="10" t="n">
        <f aca="false">C28-B28</f>
        <v>30964</v>
      </c>
      <c r="E28" s="11" t="n">
        <f aca="false">D28/B28</f>
        <v>0.020156649533124</v>
      </c>
      <c r="F28" s="12" t="n">
        <f aca="false">COUNTIFS('Assembly seats'!$D:$D,A28,'Assembly seats'!$F:$F,"Mahayuti")</f>
        <v>2</v>
      </c>
      <c r="G28" s="12" t="n">
        <f aca="false">COUNTIFS('Assembly seats'!$D:$D,A28,'Assembly seats'!$F:$F,"MVA")</f>
        <v>4</v>
      </c>
      <c r="H28" s="4" t="n">
        <f aca="false">AVERAGEIFS('Assembly seats'!$K:$K,'Assembly seats'!$D:$D,A28)</f>
        <v>0.255516777883916</v>
      </c>
    </row>
    <row r="29" customFormat="false" ht="15" hidden="false" customHeight="false" outlineLevel="0" collapsed="false">
      <c r="A29" s="2" t="s">
        <v>74</v>
      </c>
      <c r="B29" s="9" t="n">
        <v>1474405</v>
      </c>
      <c r="C29" s="3" t="n">
        <f aca="false">SUMIFS('Assembly seats'!$N:$N,'Assembly seats'!$D:$D,A29)</f>
        <v>1504494</v>
      </c>
      <c r="D29" s="10" t="n">
        <f aca="false">C29-B29</f>
        <v>30089</v>
      </c>
      <c r="E29" s="11" t="n">
        <f aca="false">D29/B29</f>
        <v>0.0204075542337417</v>
      </c>
      <c r="F29" s="12" t="n">
        <f aca="false">COUNTIFS('Assembly seats'!$D:$D,A29,'Assembly seats'!$F:$F,"Mahayuti")</f>
        <v>4</v>
      </c>
      <c r="G29" s="12" t="n">
        <f aca="false">COUNTIFS('Assembly seats'!$D:$D,A29,'Assembly seats'!$F:$F,"MVA")</f>
        <v>2</v>
      </c>
      <c r="H29" s="4" t="n">
        <f aca="false">AVERAGEIFS('Assembly seats'!$K:$K,'Assembly seats'!$D:$D,A29)</f>
        <v>0.0911439400803261</v>
      </c>
    </row>
    <row r="30" customFormat="false" ht="15" hidden="false" customHeight="false" outlineLevel="0" collapsed="false">
      <c r="A30" s="2" t="s">
        <v>60</v>
      </c>
      <c r="B30" s="9" t="n">
        <v>2223281</v>
      </c>
      <c r="C30" s="3" t="n">
        <f aca="false">SUMIFS('Assembly seats'!$N:$N,'Assembly seats'!$D:$D,A30)</f>
        <v>2383014</v>
      </c>
      <c r="D30" s="10" t="n">
        <f aca="false">C30-B30</f>
        <v>159733</v>
      </c>
      <c r="E30" s="11" t="n">
        <f aca="false">D30/B30</f>
        <v>0.0718456191547537</v>
      </c>
      <c r="F30" s="12" t="n">
        <f aca="false">COUNTIFS('Assembly seats'!$D:$D,A30,'Assembly seats'!$F:$F,"Mahayuti")</f>
        <v>4</v>
      </c>
      <c r="G30" s="12" t="n">
        <f aca="false">COUNTIFS('Assembly seats'!$D:$D,A30,'Assembly seats'!$F:$F,"MVA")</f>
        <v>2</v>
      </c>
      <c r="H30" s="4" t="n">
        <f aca="false">AVERAGEIFS('Assembly seats'!$K:$K,'Assembly seats'!$D:$D,A30)</f>
        <v>0.150467186751749</v>
      </c>
    </row>
    <row r="31" customFormat="false" ht="15" hidden="false" customHeight="false" outlineLevel="0" collapsed="false">
      <c r="A31" s="2" t="s">
        <v>62</v>
      </c>
      <c r="B31" s="9" t="n">
        <v>1851843</v>
      </c>
      <c r="C31" s="3" t="n">
        <f aca="false">SUMIFS('Assembly seats'!$N:$N,'Assembly seats'!$D:$D,A31)</f>
        <v>1908546</v>
      </c>
      <c r="D31" s="10" t="n">
        <f aca="false">C31-B31</f>
        <v>56703</v>
      </c>
      <c r="E31" s="11" t="n">
        <f aca="false">D31/B31</f>
        <v>0.0306197663624832</v>
      </c>
      <c r="F31" s="12" t="n">
        <f aca="false">COUNTIFS('Assembly seats'!$D:$D,A31,'Assembly seats'!$F:$F,"Mahayuti")</f>
        <v>6</v>
      </c>
      <c r="G31" s="12" t="n">
        <f aca="false">COUNTIFS('Assembly seats'!$D:$D,A31,'Assembly seats'!$F:$F,"MVA")</f>
        <v>0</v>
      </c>
      <c r="H31" s="4" t="n">
        <f aca="false">AVERAGEIFS('Assembly seats'!$K:$K,'Assembly seats'!$D:$D,A31)</f>
        <v>0.139260326471734</v>
      </c>
    </row>
    <row r="32" customFormat="false" ht="15" hidden="false" customHeight="false" outlineLevel="0" collapsed="false">
      <c r="A32" s="2" t="s">
        <v>36</v>
      </c>
      <c r="B32" s="9" t="n">
        <v>1970327</v>
      </c>
      <c r="C32" s="3" t="n">
        <f aca="false">SUMIFS('Assembly seats'!$N:$N,'Assembly seats'!$D:$D,A32)</f>
        <v>2038045</v>
      </c>
      <c r="D32" s="10" t="n">
        <f aca="false">C32-B32</f>
        <v>67718</v>
      </c>
      <c r="E32" s="11" t="n">
        <f aca="false">D32/B32</f>
        <v>0.0343689143984729</v>
      </c>
      <c r="F32" s="12" t="n">
        <f aca="false">COUNTIFS('Assembly seats'!$D:$D,A32,'Assembly seats'!$F:$F,"Mahayuti")</f>
        <v>5</v>
      </c>
      <c r="G32" s="12" t="n">
        <f aca="false">COUNTIFS('Assembly seats'!$D:$D,A32,'Assembly seats'!$F:$F,"MVA")</f>
        <v>1</v>
      </c>
      <c r="H32" s="4" t="n">
        <f aca="false">AVERAGEIFS('Assembly seats'!$K:$K,'Assembly seats'!$D:$D,A32)</f>
        <v>0.200550770197525</v>
      </c>
    </row>
    <row r="33" customFormat="false" ht="15" hidden="false" customHeight="false" outlineLevel="0" collapsed="false">
      <c r="A33" s="2" t="s">
        <v>152</v>
      </c>
      <c r="B33" s="9" t="n">
        <v>2030124</v>
      </c>
      <c r="C33" s="3" t="n">
        <f aca="false">SUMIFS('Assembly seats'!$N:$N,'Assembly seats'!$D:$D,A33)</f>
        <v>2130291</v>
      </c>
      <c r="D33" s="10" t="n">
        <f aca="false">C33-B33</f>
        <v>100167</v>
      </c>
      <c r="E33" s="11" t="n">
        <f aca="false">D33/B33</f>
        <v>0.0493403358612577</v>
      </c>
      <c r="F33" s="12" t="n">
        <f aca="false">COUNTIFS('Assembly seats'!$D:$D,A33,'Assembly seats'!$F:$F,"Mahayuti")</f>
        <v>6</v>
      </c>
      <c r="G33" s="12" t="n">
        <f aca="false">COUNTIFS('Assembly seats'!$D:$D,A33,'Assembly seats'!$F:$F,"MVA")</f>
        <v>0</v>
      </c>
      <c r="H33" s="4" t="n">
        <f aca="false">AVERAGEIFS('Assembly seats'!$K:$K,'Assembly seats'!$D:$D,A33)</f>
        <v>0.248174535676069</v>
      </c>
    </row>
    <row r="34" customFormat="false" ht="15" hidden="false" customHeight="false" outlineLevel="0" collapsed="false">
      <c r="A34" s="2" t="s">
        <v>54</v>
      </c>
      <c r="B34" s="9" t="n">
        <v>1992737</v>
      </c>
      <c r="C34" s="3" t="n">
        <f aca="false">SUMIFS('Assembly seats'!$N:$N,'Assembly seats'!$D:$D,A34)</f>
        <v>2045818</v>
      </c>
      <c r="D34" s="10" t="n">
        <f aca="false">C34-B34</f>
        <v>53081</v>
      </c>
      <c r="E34" s="11" t="n">
        <f aca="false">D34/B34</f>
        <v>0.0266372331120464</v>
      </c>
      <c r="F34" s="12" t="n">
        <f aca="false">COUNTIFS('Assembly seats'!$D:$D,A34,'Assembly seats'!$F:$F,"Mahayuti")</f>
        <v>3</v>
      </c>
      <c r="G34" s="12" t="n">
        <f aca="false">COUNTIFS('Assembly seats'!$D:$D,A34,'Assembly seats'!$F:$F,"MVA")</f>
        <v>3</v>
      </c>
      <c r="H34" s="4" t="n">
        <f aca="false">AVERAGEIFS('Assembly seats'!$K:$K,'Assembly seats'!$D:$D,A34)</f>
        <v>0.0838905220927232</v>
      </c>
    </row>
    <row r="35" customFormat="false" ht="15" hidden="false" customHeight="false" outlineLevel="0" collapsed="false">
      <c r="A35" s="2" t="s">
        <v>39</v>
      </c>
      <c r="B35" s="9" t="n">
        <v>2148514</v>
      </c>
      <c r="C35" s="3" t="n">
        <f aca="false">SUMIFS('Assembly seats'!$N:$N,'Assembly seats'!$D:$D,A35)</f>
        <v>2292066</v>
      </c>
      <c r="D35" s="10" t="n">
        <f aca="false">C35-B35</f>
        <v>143552</v>
      </c>
      <c r="E35" s="11" t="n">
        <f aca="false">D35/B35</f>
        <v>0.0668145518251219</v>
      </c>
      <c r="F35" s="12" t="n">
        <f aca="false">COUNTIFS('Assembly seats'!$D:$D,A35,'Assembly seats'!$F:$F,"Mahayuti")</f>
        <v>5</v>
      </c>
      <c r="G35" s="12" t="n">
        <f aca="false">COUNTIFS('Assembly seats'!$D:$D,A35,'Assembly seats'!$F:$F,"MVA")</f>
        <v>0</v>
      </c>
      <c r="H35" s="4" t="n">
        <f aca="false">AVERAGEIFS('Assembly seats'!$K:$K,'Assembly seats'!$D:$D,A35)</f>
        <v>0.109508994013656</v>
      </c>
    </row>
    <row r="36" customFormat="false" ht="15" hidden="false" customHeight="false" outlineLevel="0" collapsed="false">
      <c r="A36" s="2" t="s">
        <v>58</v>
      </c>
      <c r="B36" s="9" t="n">
        <v>2123056</v>
      </c>
      <c r="C36" s="3" t="n">
        <f aca="false">SUMIFS('Assembly seats'!$N:$N,'Assembly seats'!$D:$D,A36)</f>
        <v>2206796</v>
      </c>
      <c r="D36" s="10" t="n">
        <f aca="false">C36-B36</f>
        <v>83740</v>
      </c>
      <c r="E36" s="11" t="n">
        <f aca="false">D36/B36</f>
        <v>0.0394431423382143</v>
      </c>
      <c r="F36" s="12" t="n">
        <f aca="false">COUNTIFS('Assembly seats'!$D:$D,A36,'Assembly seats'!$F:$F,"Mahayuti")</f>
        <v>4</v>
      </c>
      <c r="G36" s="12" t="n">
        <f aca="false">COUNTIFS('Assembly seats'!$D:$D,A36,'Assembly seats'!$F:$F,"MVA")</f>
        <v>1</v>
      </c>
      <c r="H36" s="4" t="n">
        <f aca="false">AVERAGEIFS('Assembly seats'!$K:$K,'Assembly seats'!$D:$D,A36)</f>
        <v>0.053799452914658</v>
      </c>
    </row>
    <row r="37" customFormat="false" ht="15" hidden="false" customHeight="false" outlineLevel="0" collapsed="false">
      <c r="A37" s="2" t="s">
        <v>51</v>
      </c>
      <c r="B37" s="9" t="n">
        <v>2061276</v>
      </c>
      <c r="C37" s="3" t="n">
        <f aca="false">SUMIFS('Assembly seats'!$N:$N,'Assembly seats'!$D:$D,A37)</f>
        <v>2179204</v>
      </c>
      <c r="D37" s="10" t="n">
        <f aca="false">C37-B37</f>
        <v>117928</v>
      </c>
      <c r="E37" s="11" t="n">
        <f aca="false">D37/B37</f>
        <v>0.0572111643467444</v>
      </c>
      <c r="F37" s="12" t="n">
        <f aca="false">COUNTIFS('Assembly seats'!$D:$D,A37,'Assembly seats'!$F:$F,"Mahayuti")</f>
        <v>5</v>
      </c>
      <c r="G37" s="12" t="n">
        <f aca="false">COUNTIFS('Assembly seats'!$D:$D,A37,'Assembly seats'!$F:$F,"MVA")</f>
        <v>1</v>
      </c>
      <c r="H37" s="4" t="n">
        <f aca="false">AVERAGEIFS('Assembly seats'!$K:$K,'Assembly seats'!$D:$D,A37)</f>
        <v>0.197856295322861</v>
      </c>
    </row>
    <row r="38" customFormat="false" ht="15" hidden="false" customHeight="false" outlineLevel="0" collapsed="false">
      <c r="A38" s="2" t="s">
        <v>96</v>
      </c>
      <c r="B38" s="9" t="n">
        <v>1668372</v>
      </c>
      <c r="C38" s="3" t="n">
        <f aca="false">SUMIFS('Assembly seats'!$N:$N,'Assembly seats'!$D:$D,A38)</f>
        <v>1709884</v>
      </c>
      <c r="D38" s="10" t="n">
        <f aca="false">C38-B38</f>
        <v>41512</v>
      </c>
      <c r="E38" s="11" t="n">
        <f aca="false">D38/B38</f>
        <v>0.0248817410026061</v>
      </c>
      <c r="F38" s="12" t="n">
        <f aca="false">COUNTIFS('Assembly seats'!$D:$D,A38,'Assembly seats'!$F:$F,"Mahayuti")</f>
        <v>5</v>
      </c>
      <c r="G38" s="12" t="n">
        <f aca="false">COUNTIFS('Assembly seats'!$D:$D,A38,'Assembly seats'!$F:$F,"MVA")</f>
        <v>1</v>
      </c>
      <c r="H38" s="4" t="n">
        <f aca="false">AVERAGEIFS('Assembly seats'!$K:$K,'Assembly seats'!$D:$D,A38)</f>
        <v>0.193600706354144</v>
      </c>
    </row>
    <row r="39" customFormat="false" ht="15" hidden="false" customHeight="false" outlineLevel="0" collapsed="false">
      <c r="A39" s="2" t="s">
        <v>133</v>
      </c>
      <c r="B39" s="9" t="n">
        <v>2049085</v>
      </c>
      <c r="C39" s="3" t="n">
        <f aca="false">SUMIFS('Assembly seats'!$N:$N,'Assembly seats'!$D:$D,A39)</f>
        <v>2142983</v>
      </c>
      <c r="D39" s="10" t="n">
        <f aca="false">C39-B39</f>
        <v>93898</v>
      </c>
      <c r="E39" s="11" t="n">
        <f aca="false">D39/B39</f>
        <v>0.0458243557490295</v>
      </c>
      <c r="F39" s="12" t="n">
        <f aca="false">COUNTIFS('Assembly seats'!$D:$D,A39,'Assembly seats'!$F:$F,"Mahayuti")</f>
        <v>5</v>
      </c>
      <c r="G39" s="12" t="n">
        <f aca="false">COUNTIFS('Assembly seats'!$D:$D,A39,'Assembly seats'!$F:$F,"MVA")</f>
        <v>1</v>
      </c>
      <c r="H39" s="4" t="n">
        <f aca="false">AVERAGEIFS('Assembly seats'!$K:$K,'Assembly seats'!$D:$D,A39)</f>
        <v>0.153043667527853</v>
      </c>
    </row>
    <row r="40" customFormat="false" ht="15" hidden="false" customHeight="false" outlineLevel="0" collapsed="false">
      <c r="A40" s="2" t="s">
        <v>153</v>
      </c>
      <c r="B40" s="9" t="n">
        <v>1451630</v>
      </c>
      <c r="C40" s="3" t="n">
        <f aca="false">SUMIFS('Assembly seats'!$N:$N,'Assembly seats'!$D:$D,A40)</f>
        <v>1484624</v>
      </c>
      <c r="D40" s="10" t="n">
        <f aca="false">C40-B40</f>
        <v>32994</v>
      </c>
      <c r="E40" s="11" t="n">
        <f aca="false">D40/B40</f>
        <v>0.0227289323036862</v>
      </c>
      <c r="F40" s="12" t="n">
        <f aca="false">COUNTIFS('Assembly seats'!$D:$D,A40,'Assembly seats'!$F:$F,"Mahayuti")</f>
        <v>6</v>
      </c>
      <c r="G40" s="12" t="n">
        <f aca="false">COUNTIFS('Assembly seats'!$D:$D,A40,'Assembly seats'!$F:$F,"MVA")</f>
        <v>0</v>
      </c>
      <c r="H40" s="4" t="n">
        <f aca="false">AVERAGEIFS('Assembly seats'!$K:$K,'Assembly seats'!$D:$D,A40)</f>
        <v>0.171984977631384</v>
      </c>
    </row>
    <row r="41" customFormat="false" ht="15" hidden="false" customHeight="false" outlineLevel="0" collapsed="false">
      <c r="A41" s="2" t="s">
        <v>154</v>
      </c>
      <c r="B41" s="9" t="n">
        <v>1821750</v>
      </c>
      <c r="C41" s="3" t="n">
        <f aca="false">SUMIFS('Assembly seats'!$N:$N,'Assembly seats'!$D:$D,A41)</f>
        <v>1884950</v>
      </c>
      <c r="D41" s="10" t="n">
        <f aca="false">C41-B41</f>
        <v>63200</v>
      </c>
      <c r="E41" s="11" t="n">
        <f aca="false">D41/B41</f>
        <v>0.0346919171126664</v>
      </c>
      <c r="F41" s="12" t="n">
        <f aca="false">COUNTIFS('Assembly seats'!$D:$D,A41,'Assembly seats'!$F:$F,"Mahayuti")</f>
        <v>6</v>
      </c>
      <c r="G41" s="12" t="n">
        <f aca="false">COUNTIFS('Assembly seats'!$D:$D,A41,'Assembly seats'!$F:$F,"MVA")</f>
        <v>0</v>
      </c>
      <c r="H41" s="4" t="n">
        <f aca="false">AVERAGEIFS('Assembly seats'!$K:$K,'Assembly seats'!$D:$D,A41)</f>
        <v>0.156977450246262</v>
      </c>
    </row>
    <row r="42" customFormat="false" ht="15" hidden="false" customHeight="false" outlineLevel="0" collapsed="false">
      <c r="A42" s="2" t="s">
        <v>155</v>
      </c>
      <c r="B42" s="9" t="n">
        <v>1868174</v>
      </c>
      <c r="C42" s="3" t="n">
        <f aca="false">SUMIFS('Assembly seats'!$N:$N,'Assembly seats'!$D:$D,A42)</f>
        <v>1948197</v>
      </c>
      <c r="D42" s="10" t="n">
        <f aca="false">C42-B42</f>
        <v>80023</v>
      </c>
      <c r="E42" s="11" t="n">
        <f aca="false">D42/B42</f>
        <v>0.0428348751240516</v>
      </c>
      <c r="F42" s="12" t="n">
        <f aca="false">COUNTIFS('Assembly seats'!$D:$D,A42,'Assembly seats'!$F:$F,"Mahayuti")</f>
        <v>4</v>
      </c>
      <c r="G42" s="12" t="n">
        <f aca="false">COUNTIFS('Assembly seats'!$D:$D,A42,'Assembly seats'!$F:$F,"MVA")</f>
        <v>2</v>
      </c>
      <c r="H42" s="4" t="n">
        <f aca="false">AVERAGEIFS('Assembly seats'!$K:$K,'Assembly seats'!$D:$D,A42)</f>
        <v>0.182060396872713</v>
      </c>
    </row>
    <row r="43" customFormat="false" ht="15" hidden="false" customHeight="false" outlineLevel="0" collapsed="false">
      <c r="A43" s="2" t="s">
        <v>156</v>
      </c>
      <c r="B43" s="9" t="n">
        <v>1889740</v>
      </c>
      <c r="C43" s="3" t="n">
        <f aca="false">SUMIFS('Assembly seats'!$N:$N,'Assembly seats'!$D:$D,A43)</f>
        <v>1942470</v>
      </c>
      <c r="D43" s="10" t="n">
        <f aca="false">C43-B43</f>
        <v>52730</v>
      </c>
      <c r="E43" s="11" t="n">
        <f aca="false">D43/B43</f>
        <v>0.0279033094499772</v>
      </c>
      <c r="F43" s="12" t="n">
        <f aca="false">COUNTIFS('Assembly seats'!$D:$D,A43,'Assembly seats'!$F:$F,"Mahayuti")</f>
        <v>6</v>
      </c>
      <c r="G43" s="12" t="n">
        <f aca="false">COUNTIFS('Assembly seats'!$D:$D,A43,'Assembly seats'!$F:$F,"MVA")</f>
        <v>0</v>
      </c>
      <c r="H43" s="4" t="n">
        <f aca="false">AVERAGEIFS('Assembly seats'!$K:$K,'Assembly seats'!$D:$D,A43)</f>
        <v>0.264146728802222</v>
      </c>
    </row>
    <row r="44" customFormat="false" ht="15" hidden="false" customHeight="false" outlineLevel="0" collapsed="false">
      <c r="A44" s="2" t="s">
        <v>88</v>
      </c>
      <c r="B44" s="9" t="n">
        <v>1677335</v>
      </c>
      <c r="C44" s="3" t="n">
        <f aca="false">SUMIFS('Assembly seats'!$N:$N,'Assembly seats'!$D:$D,A44)</f>
        <v>1731513</v>
      </c>
      <c r="D44" s="10" t="n">
        <f aca="false">C44-B44</f>
        <v>54178</v>
      </c>
      <c r="E44" s="11" t="n">
        <f aca="false">D44/B44</f>
        <v>0.0323000473966143</v>
      </c>
      <c r="F44" s="12" t="n">
        <f aca="false">COUNTIFS('Assembly seats'!$D:$D,A44,'Assembly seats'!$F:$F,"Mahayuti")</f>
        <v>5</v>
      </c>
      <c r="G44" s="12" t="n">
        <f aca="false">COUNTIFS('Assembly seats'!$D:$D,A44,'Assembly seats'!$F:$F,"MVA")</f>
        <v>1</v>
      </c>
      <c r="H44" s="4" t="n">
        <f aca="false">AVERAGEIFS('Assembly seats'!$K:$K,'Assembly seats'!$D:$D,A44)</f>
        <v>0.178101086330832</v>
      </c>
    </row>
    <row r="45" customFormat="false" ht="15" hidden="false" customHeight="false" outlineLevel="0" collapsed="false">
      <c r="A45" s="2" t="s">
        <v>24</v>
      </c>
      <c r="B45" s="9" t="n">
        <v>2539702</v>
      </c>
      <c r="C45" s="3" t="n">
        <f aca="false">SUMIFS('Assembly seats'!$N:$N,'Assembly seats'!$D:$D,A45)</f>
        <v>2716781</v>
      </c>
      <c r="D45" s="10" t="n">
        <f aca="false">C45-B45</f>
        <v>177079</v>
      </c>
      <c r="E45" s="11" t="n">
        <f aca="false">D45/B45</f>
        <v>0.0697243219873828</v>
      </c>
      <c r="F45" s="12" t="n">
        <f aca="false">COUNTIFS('Assembly seats'!$D:$D,A45,'Assembly seats'!$F:$F,"Mahayuti")</f>
        <v>4</v>
      </c>
      <c r="G45" s="12" t="n">
        <f aca="false">COUNTIFS('Assembly seats'!$D:$D,A45,'Assembly seats'!$F:$F,"MVA")</f>
        <v>1</v>
      </c>
      <c r="H45" s="4" t="n">
        <f aca="false">AVERAGEIFS('Assembly seats'!$K:$K,'Assembly seats'!$D:$D,A45)</f>
        <v>0.11004079923439</v>
      </c>
    </row>
    <row r="46" customFormat="false" ht="15" hidden="false" customHeight="false" outlineLevel="0" collapsed="false">
      <c r="A46" s="2" t="s">
        <v>84</v>
      </c>
      <c r="B46" s="9" t="n">
        <v>2030119</v>
      </c>
      <c r="C46" s="3" t="n">
        <f aca="false">SUMIFS('Assembly seats'!$N:$N,'Assembly seats'!$D:$D,A46)</f>
        <v>2146624</v>
      </c>
      <c r="D46" s="10" t="n">
        <f aca="false">C46-B46</f>
        <v>116505</v>
      </c>
      <c r="E46" s="11" t="n">
        <f aca="false">D46/B46</f>
        <v>0.0573882614762977</v>
      </c>
      <c r="F46" s="12" t="n">
        <f aca="false">COUNTIFS('Assembly seats'!$D:$D,A46,'Assembly seats'!$F:$F,"Mahayuti")</f>
        <v>5</v>
      </c>
      <c r="G46" s="12" t="n">
        <f aca="false">COUNTIFS('Assembly seats'!$D:$D,A46,'Assembly seats'!$F:$F,"MVA")</f>
        <v>1</v>
      </c>
      <c r="H46" s="4" t="n">
        <f aca="false">AVERAGEIFS('Assembly seats'!$K:$K,'Assembly seats'!$D:$D,A46)</f>
        <v>0.203666977047615</v>
      </c>
    </row>
    <row r="47" customFormat="false" ht="15" hidden="false" customHeight="false" outlineLevel="0" collapsed="false">
      <c r="A47" s="2" t="s">
        <v>16</v>
      </c>
      <c r="B47" s="9" t="n">
        <v>2507372</v>
      </c>
      <c r="C47" s="3" t="n">
        <f aca="false">SUMIFS('Assembly seats'!$N:$N,'Assembly seats'!$D:$D,A47)</f>
        <v>2686343</v>
      </c>
      <c r="D47" s="10" t="n">
        <f aca="false">C47-B47</f>
        <v>178971</v>
      </c>
      <c r="E47" s="11" t="n">
        <f aca="false">D47/B47</f>
        <v>0.0713779207871828</v>
      </c>
      <c r="F47" s="12" t="n">
        <f aca="false">COUNTIFS('Assembly seats'!$D:$D,A47,'Assembly seats'!$F:$F,"Mahayuti")</f>
        <v>6</v>
      </c>
      <c r="G47" s="12" t="n">
        <f aca="false">COUNTIFS('Assembly seats'!$D:$D,A47,'Assembly seats'!$F:$F,"MVA")</f>
        <v>0</v>
      </c>
      <c r="H47" s="4" t="n">
        <f aca="false">AVERAGEIFS('Assembly seats'!$K:$K,'Assembly seats'!$D:$D,A47)</f>
        <v>0.300291515576782</v>
      </c>
    </row>
    <row r="48" customFormat="false" ht="15" hidden="false" customHeight="false" outlineLevel="0" collapsed="false">
      <c r="A48" s="2" t="s">
        <v>117</v>
      </c>
      <c r="B48" s="9" t="n">
        <v>1682771</v>
      </c>
      <c r="C48" s="3" t="n">
        <f aca="false">SUMIFS('Assembly seats'!$N:$N,'Assembly seats'!$D:$D,A48)</f>
        <v>1741291</v>
      </c>
      <c r="D48" s="10" t="n">
        <f aca="false">C48-B48</f>
        <v>58520</v>
      </c>
      <c r="E48" s="11" t="n">
        <f aca="false">D48/B48</f>
        <v>0.034775973676751</v>
      </c>
      <c r="F48" s="12" t="n">
        <f aca="false">COUNTIFS('Assembly seats'!$D:$D,A48,'Assembly seats'!$F:$F,"Mahayuti")</f>
        <v>6</v>
      </c>
      <c r="G48" s="12" t="n">
        <f aca="false">COUNTIFS('Assembly seats'!$D:$D,A48,'Assembly seats'!$F:$F,"MVA")</f>
        <v>0</v>
      </c>
      <c r="H48" s="4" t="n">
        <f aca="false">AVERAGEIFS('Assembly seats'!$K:$K,'Assembly seats'!$D:$D,A48)</f>
        <v>0.135868869065096</v>
      </c>
    </row>
    <row r="49" customFormat="false" ht="15" hidden="false" customHeight="false" outlineLevel="0" collapsed="false">
      <c r="A49" s="2" t="s">
        <v>67</v>
      </c>
      <c r="B49" s="9" t="n">
        <v>1940916</v>
      </c>
      <c r="C49" s="3" t="n">
        <f aca="false">SUMIFS('Assembly seats'!$N:$N,'Assembly seats'!$D:$D,A49)</f>
        <v>2011704</v>
      </c>
      <c r="D49" s="10" t="n">
        <f aca="false">C49-B49</f>
        <v>70788</v>
      </c>
      <c r="E49" s="11" t="n">
        <f aca="false">D49/B49</f>
        <v>0.0364714392585769</v>
      </c>
      <c r="F49" s="12" t="n">
        <f aca="false">COUNTIFS('Assembly seats'!$D:$D,A49,'Assembly seats'!$F:$F,"Mahayuti")</f>
        <v>5</v>
      </c>
      <c r="G49" s="12" t="n">
        <f aca="false">COUNTIFS('Assembly seats'!$D:$D,A49,'Assembly seats'!$F:$F,"MVA")</f>
        <v>1</v>
      </c>
      <c r="H49" s="4" t="n">
        <f aca="false">AVERAGEIFS('Assembly seats'!$K:$K,'Assembly seats'!$D:$D,A49)</f>
        <v>0.140182270915294</v>
      </c>
    </row>
    <row r="50" customFormat="false" ht="15" hidden="false" customHeight="false" outlineLevel="0" collapsed="false">
      <c r="A50" s="6" t="s">
        <v>157</v>
      </c>
      <c r="B50" s="13" t="n">
        <f aca="false">SUM(B2:B49)</f>
        <v>92943890</v>
      </c>
      <c r="C50" s="13" t="n">
        <f aca="false">SUM(C2:C49)</f>
        <v>97025119</v>
      </c>
      <c r="D50" s="13" t="n">
        <f aca="false">SUM(D2:D49)</f>
        <v>4081229</v>
      </c>
      <c r="E50" s="14" t="n">
        <f aca="false">D50/B50</f>
        <v>0.0439106755699595</v>
      </c>
      <c r="F50" s="13" t="n">
        <f aca="false">SUM(F2:F49)</f>
        <v>230</v>
      </c>
      <c r="G50" s="13" t="n">
        <f aca="false">SUM(G2:G49)</f>
        <v>46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11" min="7" style="0" width="11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6" min="15" style="0" width="12"/>
    <col collapsed="false" customWidth="true" hidden="false" outlineLevel="0" max="18" min="17" style="0" width="10"/>
    <col collapsed="false" customWidth="true" hidden="false" outlineLevel="0" max="19" min="19" style="0" width="12"/>
    <col collapsed="false" customWidth="true" hidden="false" outlineLevel="0" max="20" min="20" style="0" width="2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158</v>
      </c>
      <c r="D1" s="1" t="s">
        <v>2</v>
      </c>
      <c r="E1" s="1" t="s">
        <v>3</v>
      </c>
      <c r="F1" s="1" t="s">
        <v>4</v>
      </c>
      <c r="G1" s="1" t="s">
        <v>159</v>
      </c>
      <c r="H1" s="1" t="s">
        <v>160</v>
      </c>
      <c r="I1" s="1" t="s">
        <v>161</v>
      </c>
      <c r="J1" s="1" t="s">
        <v>5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8</v>
      </c>
      <c r="R1" s="1" t="s">
        <v>168</v>
      </c>
      <c r="S1" s="1" t="s">
        <v>169</v>
      </c>
      <c r="T1" s="1" t="s">
        <v>170</v>
      </c>
    </row>
    <row r="2" customFormat="false" ht="15" hidden="false" customHeight="false" outlineLevel="0" collapsed="false">
      <c r="A2" s="2" t="n">
        <v>1</v>
      </c>
      <c r="B2" s="2" t="s">
        <v>65</v>
      </c>
      <c r="C2" s="2" t="s">
        <v>36</v>
      </c>
      <c r="D2" s="2" t="s">
        <v>36</v>
      </c>
      <c r="E2" s="2" t="s">
        <v>27</v>
      </c>
      <c r="F2" s="2" t="s">
        <v>18</v>
      </c>
      <c r="G2" s="9" t="n">
        <v>72629</v>
      </c>
      <c r="H2" s="9" t="n">
        <v>69725</v>
      </c>
      <c r="I2" s="9" t="n">
        <v>230203</v>
      </c>
      <c r="J2" s="10" t="n">
        <f aca="false">G2-H2</f>
        <v>2904</v>
      </c>
      <c r="K2" s="11" t="n">
        <f aca="false">J2/I2</f>
        <v>0.0126149528894063</v>
      </c>
      <c r="L2" s="11" t="n">
        <f aca="false">I2/N2</f>
        <v>0.720647760605311</v>
      </c>
      <c r="M2" s="4" t="n">
        <f aca="false">INDEX('Lok Sabha seats'!$E:$E,MATCH(D2,'Lok Sabha seats'!$A:$A,0))</f>
        <v>0.0343689143984729</v>
      </c>
      <c r="N2" s="9" t="n">
        <v>319439</v>
      </c>
      <c r="O2" s="15"/>
      <c r="P2" s="10" t="n">
        <f aca="false">IF(O2&lt;&gt;"",O2,ROUND(N2*M2/(1+M2),0))</f>
        <v>10614</v>
      </c>
      <c r="Q2" s="16" t="n">
        <f aca="false">P2/J2</f>
        <v>3.65495867768595</v>
      </c>
      <c r="R2" s="2" t="str">
        <f aca="false">IF(P2&gt;J2,"Yes","No")</f>
        <v>Yes</v>
      </c>
      <c r="S2" s="2" t="str">
        <f aca="false">IF(P2*L2&gt;J2,"Yes","No")</f>
        <v>Yes</v>
      </c>
      <c r="T2" s="2" t="s">
        <v>171</v>
      </c>
    </row>
    <row r="3" customFormat="false" ht="15" hidden="false" customHeight="false" outlineLevel="0" collapsed="false">
      <c r="A3" s="2" t="n">
        <v>2</v>
      </c>
      <c r="B3" s="2" t="s">
        <v>172</v>
      </c>
      <c r="C3" s="2" t="s">
        <v>36</v>
      </c>
      <c r="D3" s="2" t="s">
        <v>36</v>
      </c>
      <c r="E3" s="2" t="s">
        <v>17</v>
      </c>
      <c r="F3" s="2" t="s">
        <v>18</v>
      </c>
      <c r="G3" s="9" t="n">
        <v>146839</v>
      </c>
      <c r="H3" s="9" t="n">
        <v>93635</v>
      </c>
      <c r="I3" s="9" t="n">
        <v>245304</v>
      </c>
      <c r="J3" s="10" t="n">
        <f aca="false">G3-H3</f>
        <v>53204</v>
      </c>
      <c r="K3" s="11" t="n">
        <f aca="false">J3/I3</f>
        <v>0.216890062942308</v>
      </c>
      <c r="L3" s="11" t="n">
        <f aca="false">I3/N3</f>
        <v>0.695629487630304</v>
      </c>
      <c r="M3" s="4" t="n">
        <f aca="false">INDEX('Lok Sabha seats'!$E:$E,MATCH(D3,'Lok Sabha seats'!$A:$A,0))</f>
        <v>0.0343689143984729</v>
      </c>
      <c r="N3" s="9" t="n">
        <v>352636</v>
      </c>
      <c r="O3" s="15"/>
      <c r="P3" s="10" t="n">
        <f aca="false">IF(O3&lt;&gt;"",O3,ROUND(N3*M3/(1+M3),0))</f>
        <v>11717</v>
      </c>
      <c r="Q3" s="16" t="n">
        <f aca="false">P3/J3</f>
        <v>0.220227802420871</v>
      </c>
      <c r="R3" s="2" t="str">
        <f aca="false">IF(P3&gt;J3,"Yes","No")</f>
        <v>No</v>
      </c>
      <c r="S3" s="2" t="str">
        <f aca="false">IF(P3*L3&gt;J3,"Yes","No")</f>
        <v>No</v>
      </c>
      <c r="T3" s="2" t="s">
        <v>171</v>
      </c>
    </row>
    <row r="4" customFormat="false" ht="15" hidden="false" customHeight="false" outlineLevel="0" collapsed="false">
      <c r="A4" s="2" t="n">
        <v>3</v>
      </c>
      <c r="B4" s="2" t="s">
        <v>173</v>
      </c>
      <c r="C4" s="2" t="s">
        <v>36</v>
      </c>
      <c r="D4" s="2" t="s">
        <v>36</v>
      </c>
      <c r="E4" s="2" t="s">
        <v>17</v>
      </c>
      <c r="F4" s="2" t="s">
        <v>18</v>
      </c>
      <c r="G4" s="9" t="n">
        <v>155190</v>
      </c>
      <c r="H4" s="9" t="n">
        <v>78943</v>
      </c>
      <c r="I4" s="9" t="n">
        <v>240158</v>
      </c>
      <c r="J4" s="10" t="n">
        <f aca="false">G4-H4</f>
        <v>76247</v>
      </c>
      <c r="K4" s="11" t="n">
        <f aca="false">J4/I4</f>
        <v>0.317486821176059</v>
      </c>
      <c r="L4" s="11" t="n">
        <f aca="false">I4/N4</f>
        <v>0.678832385006544</v>
      </c>
      <c r="M4" s="4" t="n">
        <f aca="false">INDEX('Lok Sabha seats'!$E:$E,MATCH(D4,'Lok Sabha seats'!$A:$A,0))</f>
        <v>0.0343689143984729</v>
      </c>
      <c r="N4" s="9" t="n">
        <v>353781</v>
      </c>
      <c r="O4" s="15"/>
      <c r="P4" s="10" t="n">
        <f aca="false">IF(O4&lt;&gt;"",O4,ROUND(N4*M4/(1+M4),0))</f>
        <v>11755</v>
      </c>
      <c r="Q4" s="16" t="n">
        <f aca="false">P4/J4</f>
        <v>0.154170000131153</v>
      </c>
      <c r="R4" s="2" t="str">
        <f aca="false">IF(P4&gt;J4,"Yes","No")</f>
        <v>No</v>
      </c>
      <c r="S4" s="2" t="str">
        <f aca="false">IF(P4*L4&gt;J4,"Yes","No")</f>
        <v>No</v>
      </c>
      <c r="T4" s="2" t="s">
        <v>171</v>
      </c>
    </row>
    <row r="5" customFormat="false" ht="15" hidden="false" customHeight="false" outlineLevel="0" collapsed="false">
      <c r="A5" s="2" t="n">
        <v>4</v>
      </c>
      <c r="B5" s="2" t="s">
        <v>35</v>
      </c>
      <c r="C5" s="2" t="s">
        <v>36</v>
      </c>
      <c r="D5" s="2" t="s">
        <v>36</v>
      </c>
      <c r="E5" s="2" t="s">
        <v>21</v>
      </c>
      <c r="F5" s="2" t="s">
        <v>22</v>
      </c>
      <c r="G5" s="9" t="n">
        <v>87166</v>
      </c>
      <c r="H5" s="9" t="n">
        <v>86045</v>
      </c>
      <c r="I5" s="9" t="n">
        <v>241190</v>
      </c>
      <c r="J5" s="10" t="n">
        <f aca="false">G5-H5</f>
        <v>1121</v>
      </c>
      <c r="K5" s="11" t="n">
        <f aca="false">J5/I5</f>
        <v>0.00464778805091422</v>
      </c>
      <c r="L5" s="11" t="n">
        <f aca="false">I5/N5</f>
        <v>0.815420608142373</v>
      </c>
      <c r="M5" s="4" t="n">
        <f aca="false">INDEX('Lok Sabha seats'!$E:$E,MATCH(D5,'Lok Sabha seats'!$A:$A,0))</f>
        <v>0.0343689143984729</v>
      </c>
      <c r="N5" s="9" t="n">
        <v>295786</v>
      </c>
      <c r="O5" s="15"/>
      <c r="P5" s="10" t="n">
        <f aca="false">IF(O5&lt;&gt;"",O5,ROUND(N5*M5/(1+M5),0))</f>
        <v>9828</v>
      </c>
      <c r="Q5" s="16" t="n">
        <f aca="false">P5/J5</f>
        <v>8.7671721677074</v>
      </c>
      <c r="R5" s="2" t="str">
        <f aca="false">IF(P5&gt;J5,"Yes","No")</f>
        <v>Yes</v>
      </c>
      <c r="S5" s="2" t="str">
        <f aca="false">IF(P5*L5&gt;J5,"Yes","No")</f>
        <v>Yes</v>
      </c>
      <c r="T5" s="2" t="s">
        <v>171</v>
      </c>
    </row>
    <row r="6" customFormat="false" ht="15" hidden="false" customHeight="false" outlineLevel="0" collapsed="false">
      <c r="A6" s="2" t="n">
        <v>5</v>
      </c>
      <c r="B6" s="2" t="s">
        <v>92</v>
      </c>
      <c r="C6" s="2" t="s">
        <v>11</v>
      </c>
      <c r="D6" s="2" t="s">
        <v>36</v>
      </c>
      <c r="E6" s="2" t="s">
        <v>27</v>
      </c>
      <c r="F6" s="2" t="s">
        <v>18</v>
      </c>
      <c r="G6" s="9" t="n">
        <v>104649</v>
      </c>
      <c r="H6" s="9" t="n">
        <v>99065</v>
      </c>
      <c r="I6" s="9" t="n">
        <v>242243</v>
      </c>
      <c r="J6" s="10" t="n">
        <f aca="false">G6-H6</f>
        <v>5584</v>
      </c>
      <c r="K6" s="11" t="n">
        <f aca="false">J6/I6</f>
        <v>0.0230512336785789</v>
      </c>
      <c r="L6" s="11" t="n">
        <f aca="false">I6/N6</f>
        <v>0.662940228293382</v>
      </c>
      <c r="M6" s="4" t="n">
        <f aca="false">INDEX('Lok Sabha seats'!$E:$E,MATCH(D6,'Lok Sabha seats'!$A:$A,0))</f>
        <v>0.0343689143984729</v>
      </c>
      <c r="N6" s="9" t="n">
        <v>365407</v>
      </c>
      <c r="O6" s="15"/>
      <c r="P6" s="10" t="n">
        <f aca="false">IF(O6&lt;&gt;"",O6,ROUND(N6*M6/(1+M6),0))</f>
        <v>12141</v>
      </c>
      <c r="Q6" s="16" t="n">
        <f aca="false">P6/J6</f>
        <v>2.17424785100287</v>
      </c>
      <c r="R6" s="2" t="str">
        <f aca="false">IF(P6&gt;J6,"Yes","No")</f>
        <v>Yes</v>
      </c>
      <c r="S6" s="2" t="str">
        <f aca="false">IF(P6*L6&gt;J6,"Yes","No")</f>
        <v>Yes</v>
      </c>
      <c r="T6" s="2" t="s">
        <v>171</v>
      </c>
    </row>
    <row r="7" customFormat="false" ht="15" hidden="false" customHeight="false" outlineLevel="0" collapsed="false">
      <c r="A7" s="2" t="n">
        <v>6</v>
      </c>
      <c r="B7" s="2" t="s">
        <v>174</v>
      </c>
      <c r="C7" s="2" t="s">
        <v>11</v>
      </c>
      <c r="D7" s="2" t="s">
        <v>11</v>
      </c>
      <c r="E7" s="2" t="s">
        <v>17</v>
      </c>
      <c r="F7" s="2" t="s">
        <v>18</v>
      </c>
      <c r="G7" s="9" t="n">
        <v>170398</v>
      </c>
      <c r="H7" s="9" t="n">
        <v>104078</v>
      </c>
      <c r="I7" s="9" t="n">
        <v>289448</v>
      </c>
      <c r="J7" s="10" t="n">
        <f aca="false">G7-H7</f>
        <v>66320</v>
      </c>
      <c r="K7" s="11" t="n">
        <f aca="false">J7/I7</f>
        <v>0.229125784251403</v>
      </c>
      <c r="L7" s="11" t="n">
        <f aca="false">I7/N7</f>
        <v>0.706875877648208</v>
      </c>
      <c r="M7" s="4" t="n">
        <f aca="false">INDEX('Lok Sabha seats'!$E:$E,MATCH(D7,'Lok Sabha seats'!$A:$A,0))</f>
        <v>0.0570056986411389</v>
      </c>
      <c r="N7" s="9" t="n">
        <v>409475</v>
      </c>
      <c r="O7" s="15"/>
      <c r="P7" s="10" t="n">
        <f aca="false">IF(O7&lt;&gt;"",O7,ROUND(N7*M7/(1+M7),0))</f>
        <v>22084</v>
      </c>
      <c r="Q7" s="16" t="n">
        <f aca="false">P7/J7</f>
        <v>0.332991556091677</v>
      </c>
      <c r="R7" s="2" t="str">
        <f aca="false">IF(P7&gt;J7,"Yes","No")</f>
        <v>No</v>
      </c>
      <c r="S7" s="2" t="str">
        <f aca="false">IF(P7*L7&gt;J7,"Yes","No")</f>
        <v>No</v>
      </c>
      <c r="T7" s="2" t="s">
        <v>171</v>
      </c>
    </row>
    <row r="8" customFormat="false" ht="15" hidden="false" customHeight="false" outlineLevel="0" collapsed="false">
      <c r="A8" s="2" t="n">
        <v>7</v>
      </c>
      <c r="B8" s="2" t="s">
        <v>175</v>
      </c>
      <c r="C8" s="2" t="s">
        <v>11</v>
      </c>
      <c r="D8" s="2" t="s">
        <v>11</v>
      </c>
      <c r="E8" s="2" t="s">
        <v>17</v>
      </c>
      <c r="F8" s="2" t="s">
        <v>18</v>
      </c>
      <c r="G8" s="9" t="n">
        <v>116538</v>
      </c>
      <c r="H8" s="9" t="n">
        <v>70788</v>
      </c>
      <c r="I8" s="9" t="n">
        <v>220382</v>
      </c>
      <c r="J8" s="10" t="n">
        <f aca="false">G8-H8</f>
        <v>45750</v>
      </c>
      <c r="K8" s="11" t="n">
        <f aca="false">J8/I8</f>
        <v>0.207594086631395</v>
      </c>
      <c r="L8" s="11" t="n">
        <f aca="false">I8/N8</f>
        <v>0.604714081879047</v>
      </c>
      <c r="M8" s="4" t="n">
        <f aca="false">INDEX('Lok Sabha seats'!$E:$E,MATCH(D8,'Lok Sabha seats'!$A:$A,0))</f>
        <v>0.0570056986411389</v>
      </c>
      <c r="N8" s="9" t="n">
        <v>364440</v>
      </c>
      <c r="O8" s="15"/>
      <c r="P8" s="10" t="n">
        <f aca="false">IF(O8&lt;&gt;"",O8,ROUND(N8*M8/(1+M8),0))</f>
        <v>19655</v>
      </c>
      <c r="Q8" s="16" t="n">
        <f aca="false">P8/J8</f>
        <v>0.429617486338798</v>
      </c>
      <c r="R8" s="2" t="str">
        <f aca="false">IF(P8&gt;J8,"Yes","No")</f>
        <v>No</v>
      </c>
      <c r="S8" s="2" t="str">
        <f aca="false">IF(P8*L8&gt;J8,"Yes","No")</f>
        <v>No</v>
      </c>
      <c r="T8" s="2" t="s">
        <v>171</v>
      </c>
    </row>
    <row r="9" customFormat="false" ht="15" hidden="false" customHeight="false" outlineLevel="0" collapsed="false">
      <c r="A9" s="2" t="n">
        <v>8</v>
      </c>
      <c r="B9" s="2" t="s">
        <v>176</v>
      </c>
      <c r="C9" s="2" t="s">
        <v>11</v>
      </c>
      <c r="D9" s="2" t="s">
        <v>11</v>
      </c>
      <c r="E9" s="2" t="s">
        <v>17</v>
      </c>
      <c r="F9" s="2" t="s">
        <v>18</v>
      </c>
      <c r="G9" s="9" t="n">
        <v>151492</v>
      </c>
      <c r="H9" s="9" t="n">
        <v>55608</v>
      </c>
      <c r="I9" s="9" t="n">
        <v>226175</v>
      </c>
      <c r="J9" s="10" t="n">
        <f aca="false">G9-H9</f>
        <v>95884</v>
      </c>
      <c r="K9" s="11" t="n">
        <f aca="false">J9/I9</f>
        <v>0.423937216756936</v>
      </c>
      <c r="L9" s="11" t="n">
        <f aca="false">I9/N9</f>
        <v>0.663254234504762</v>
      </c>
      <c r="M9" s="4" t="n">
        <f aca="false">INDEX('Lok Sabha seats'!$E:$E,MATCH(D9,'Lok Sabha seats'!$A:$A,0))</f>
        <v>0.0570056986411389</v>
      </c>
      <c r="N9" s="9" t="n">
        <v>341008</v>
      </c>
      <c r="O9" s="15"/>
      <c r="P9" s="10" t="n">
        <f aca="false">IF(O9&lt;&gt;"",O9,ROUND(N9*M9/(1+M9),0))</f>
        <v>18391</v>
      </c>
      <c r="Q9" s="16" t="n">
        <f aca="false">P9/J9</f>
        <v>0.191804680655792</v>
      </c>
      <c r="R9" s="2" t="str">
        <f aca="false">IF(P9&gt;J9,"Yes","No")</f>
        <v>No</v>
      </c>
      <c r="S9" s="2" t="str">
        <f aca="false">IF(P9*L9&gt;J9,"Yes","No")</f>
        <v>No</v>
      </c>
      <c r="T9" s="2" t="s">
        <v>171</v>
      </c>
    </row>
    <row r="10" customFormat="false" ht="15" hidden="false" customHeight="false" outlineLevel="0" collapsed="false">
      <c r="A10" s="2" t="n">
        <v>9</v>
      </c>
      <c r="B10" s="2" t="s">
        <v>177</v>
      </c>
      <c r="C10" s="2" t="s">
        <v>11</v>
      </c>
      <c r="D10" s="2" t="s">
        <v>36</v>
      </c>
      <c r="E10" s="2" t="s">
        <v>17</v>
      </c>
      <c r="F10" s="2" t="s">
        <v>18</v>
      </c>
      <c r="G10" s="9" t="n">
        <v>178073</v>
      </c>
      <c r="H10" s="9" t="n">
        <v>32129</v>
      </c>
      <c r="I10" s="9" t="n">
        <v>232168</v>
      </c>
      <c r="J10" s="10" t="n">
        <f aca="false">G10-H10</f>
        <v>145944</v>
      </c>
      <c r="K10" s="11" t="n">
        <f aca="false">J10/I10</f>
        <v>0.628613762447883</v>
      </c>
      <c r="L10" s="11" t="n">
        <f aca="false">I10/N10</f>
        <v>0.66145483139409</v>
      </c>
      <c r="M10" s="4" t="n">
        <f aca="false">INDEX('Lok Sabha seats'!$E:$E,MATCH(D10,'Lok Sabha seats'!$A:$A,0))</f>
        <v>0.0343689143984729</v>
      </c>
      <c r="N10" s="9" t="n">
        <v>350996</v>
      </c>
      <c r="O10" s="15"/>
      <c r="P10" s="10" t="n">
        <f aca="false">IF(O10&lt;&gt;"",O10,ROUND(N10*M10/(1+M10),0))</f>
        <v>11663</v>
      </c>
      <c r="Q10" s="16" t="n">
        <f aca="false">P10/J10</f>
        <v>0.0799142136709971</v>
      </c>
      <c r="R10" s="2" t="str">
        <f aca="false">IF(P10&gt;J10,"Yes","No")</f>
        <v>No</v>
      </c>
      <c r="S10" s="2" t="str">
        <f aca="false">IF(P10*L10&gt;J10,"Yes","No")</f>
        <v>No</v>
      </c>
      <c r="T10" s="2" t="s">
        <v>171</v>
      </c>
    </row>
    <row r="11" customFormat="false" ht="15" hidden="false" customHeight="false" outlineLevel="0" collapsed="false">
      <c r="A11" s="2" t="n">
        <v>10</v>
      </c>
      <c r="B11" s="2" t="s">
        <v>178</v>
      </c>
      <c r="C11" s="2" t="s">
        <v>149</v>
      </c>
      <c r="D11" s="2" t="s">
        <v>154</v>
      </c>
      <c r="E11" s="2" t="s">
        <v>27</v>
      </c>
      <c r="F11" s="2" t="s">
        <v>18</v>
      </c>
      <c r="G11" s="9" t="n">
        <v>122826</v>
      </c>
      <c r="H11" s="9" t="n">
        <v>90513</v>
      </c>
      <c r="I11" s="9" t="n">
        <v>222592</v>
      </c>
      <c r="J11" s="10" t="n">
        <f aca="false">G11-H11</f>
        <v>32313</v>
      </c>
      <c r="K11" s="11" t="n">
        <f aca="false">J11/I11</f>
        <v>0.145166942208166</v>
      </c>
      <c r="L11" s="11" t="n">
        <f aca="false">I11/N11</f>
        <v>0.671704125727253</v>
      </c>
      <c r="M11" s="4" t="n">
        <f aca="false">INDEX('Lok Sabha seats'!$E:$E,MATCH(D11,'Lok Sabha seats'!$A:$A,0))</f>
        <v>0.0346919171126664</v>
      </c>
      <c r="N11" s="9" t="n">
        <v>331384</v>
      </c>
      <c r="O11" s="15"/>
      <c r="P11" s="10" t="n">
        <f aca="false">IF(O11&lt;&gt;"",O11,ROUND(N11*M11/(1+M11),0))</f>
        <v>11111</v>
      </c>
      <c r="Q11" s="16" t="n">
        <f aca="false">P11/J11</f>
        <v>0.343855414229567</v>
      </c>
      <c r="R11" s="2" t="str">
        <f aca="false">IF(P11&gt;J11,"Yes","No")</f>
        <v>No</v>
      </c>
      <c r="S11" s="2" t="str">
        <f aca="false">IF(P11*L11&gt;J11,"Yes","No")</f>
        <v>No</v>
      </c>
      <c r="T11" s="2" t="s">
        <v>171</v>
      </c>
    </row>
    <row r="12" customFormat="false" ht="15" hidden="false" customHeight="false" outlineLevel="0" collapsed="false">
      <c r="A12" s="2" t="n">
        <v>11</v>
      </c>
      <c r="B12" s="2" t="s">
        <v>154</v>
      </c>
      <c r="C12" s="2" t="s">
        <v>149</v>
      </c>
      <c r="D12" s="2" t="s">
        <v>154</v>
      </c>
      <c r="E12" s="2" t="s">
        <v>17</v>
      </c>
      <c r="F12" s="2" t="s">
        <v>18</v>
      </c>
      <c r="G12" s="9" t="n">
        <v>113676</v>
      </c>
      <c r="H12" s="9" t="n">
        <v>70114</v>
      </c>
      <c r="I12" s="9" t="n">
        <v>230580</v>
      </c>
      <c r="J12" s="10" t="n">
        <f aca="false">G12-H12</f>
        <v>43562</v>
      </c>
      <c r="K12" s="11" t="n">
        <f aca="false">J12/I12</f>
        <v>0.188923584005551</v>
      </c>
      <c r="L12" s="11" t="n">
        <f aca="false">I12/N12</f>
        <v>0.744921430786726</v>
      </c>
      <c r="M12" s="4" t="n">
        <f aca="false">INDEX('Lok Sabha seats'!$E:$E,MATCH(D12,'Lok Sabha seats'!$A:$A,0))</f>
        <v>0.0346919171126664</v>
      </c>
      <c r="N12" s="9" t="n">
        <v>309536</v>
      </c>
      <c r="O12" s="15"/>
      <c r="P12" s="10" t="n">
        <f aca="false">IF(O12&lt;&gt;"",O12,ROUND(N12*M12/(1+M12),0))</f>
        <v>10378</v>
      </c>
      <c r="Q12" s="16" t="n">
        <f aca="false">P12/J12</f>
        <v>0.238235159083605</v>
      </c>
      <c r="R12" s="2" t="str">
        <f aca="false">IF(P12&gt;J12,"Yes","No")</f>
        <v>No</v>
      </c>
      <c r="S12" s="2" t="str">
        <f aca="false">IF(P12*L12&gt;J12,"Yes","No")</f>
        <v>No</v>
      </c>
      <c r="T12" s="2" t="s">
        <v>171</v>
      </c>
    </row>
    <row r="13" customFormat="false" ht="15" hidden="false" customHeight="false" outlineLevel="0" collapsed="false">
      <c r="A13" s="2" t="n">
        <v>12</v>
      </c>
      <c r="B13" s="2" t="s">
        <v>179</v>
      </c>
      <c r="C13" s="2" t="s">
        <v>149</v>
      </c>
      <c r="D13" s="2" t="s">
        <v>154</v>
      </c>
      <c r="E13" s="2" t="s">
        <v>17</v>
      </c>
      <c r="F13" s="2" t="s">
        <v>18</v>
      </c>
      <c r="G13" s="9" t="n">
        <v>107259</v>
      </c>
      <c r="H13" s="9" t="n">
        <v>59771</v>
      </c>
      <c r="I13" s="9" t="n">
        <v>184294</v>
      </c>
      <c r="J13" s="10" t="n">
        <f aca="false">G13-H13</f>
        <v>47488</v>
      </c>
      <c r="K13" s="11" t="n">
        <f aca="false">J13/I13</f>
        <v>0.257675236307205</v>
      </c>
      <c r="L13" s="11" t="n">
        <f aca="false">I13/N13</f>
        <v>0.582642812204599</v>
      </c>
      <c r="M13" s="4" t="n">
        <f aca="false">INDEX('Lok Sabha seats'!$E:$E,MATCH(D13,'Lok Sabha seats'!$A:$A,0))</f>
        <v>0.0346919171126664</v>
      </c>
      <c r="N13" s="9" t="n">
        <v>316307</v>
      </c>
      <c r="O13" s="15"/>
      <c r="P13" s="10" t="n">
        <f aca="false">IF(O13&lt;&gt;"",O13,ROUND(N13*M13/(1+M13),0))</f>
        <v>10605</v>
      </c>
      <c r="Q13" s="16" t="n">
        <f aca="false">P13/J13</f>
        <v>0.223319575471698</v>
      </c>
      <c r="R13" s="2" t="str">
        <f aca="false">IF(P13&gt;J13,"Yes","No")</f>
        <v>No</v>
      </c>
      <c r="S13" s="2" t="str">
        <f aca="false">IF(P13*L13&gt;J13,"Yes","No")</f>
        <v>No</v>
      </c>
      <c r="T13" s="2" t="s">
        <v>171</v>
      </c>
    </row>
    <row r="14" customFormat="false" ht="15" hidden="false" customHeight="false" outlineLevel="0" collapsed="false">
      <c r="A14" s="2" t="n">
        <v>13</v>
      </c>
      <c r="B14" s="2" t="s">
        <v>180</v>
      </c>
      <c r="C14" s="2" t="s">
        <v>149</v>
      </c>
      <c r="D14" s="2" t="s">
        <v>149</v>
      </c>
      <c r="E14" s="2" t="s">
        <v>17</v>
      </c>
      <c r="F14" s="2" t="s">
        <v>18</v>
      </c>
      <c r="G14" s="9" t="n">
        <v>151536</v>
      </c>
      <c r="H14" s="9" t="n">
        <v>64033</v>
      </c>
      <c r="I14" s="9" t="n">
        <v>241223</v>
      </c>
      <c r="J14" s="10" t="n">
        <f aca="false">G14-H14</f>
        <v>87503</v>
      </c>
      <c r="K14" s="11" t="n">
        <f aca="false">J14/I14</f>
        <v>0.362747333380316</v>
      </c>
      <c r="L14" s="11" t="n">
        <f aca="false">I14/N14</f>
        <v>0.55649680367825</v>
      </c>
      <c r="M14" s="4" t="n">
        <f aca="false">INDEX('Lok Sabha seats'!$E:$E,MATCH(D14,'Lok Sabha seats'!$A:$A,0))</f>
        <v>0.0438811341363238</v>
      </c>
      <c r="N14" s="9" t="n">
        <v>433467</v>
      </c>
      <c r="O14" s="15"/>
      <c r="P14" s="10" t="n">
        <f aca="false">IF(O14&lt;&gt;"",O14,ROUND(N14*M14/(1+M14),0))</f>
        <v>18221</v>
      </c>
      <c r="Q14" s="16" t="n">
        <f aca="false">P14/J14</f>
        <v>0.208232860587637</v>
      </c>
      <c r="R14" s="2" t="str">
        <f aca="false">IF(P14&gt;J14,"Yes","No")</f>
        <v>No</v>
      </c>
      <c r="S14" s="2" t="str">
        <f aca="false">IF(P14*L14&gt;J14,"Yes","No")</f>
        <v>No</v>
      </c>
      <c r="T14" s="2" t="s">
        <v>171</v>
      </c>
    </row>
    <row r="15" customFormat="false" ht="15" hidden="false" customHeight="false" outlineLevel="0" collapsed="false">
      <c r="A15" s="2" t="n">
        <v>14</v>
      </c>
      <c r="B15" s="2" t="s">
        <v>181</v>
      </c>
      <c r="C15" s="2" t="s">
        <v>149</v>
      </c>
      <c r="D15" s="2" t="s">
        <v>149</v>
      </c>
      <c r="E15" s="2" t="s">
        <v>27</v>
      </c>
      <c r="F15" s="2" t="s">
        <v>18</v>
      </c>
      <c r="G15" s="9" t="n">
        <v>143408</v>
      </c>
      <c r="H15" s="9" t="n">
        <v>84176</v>
      </c>
      <c r="I15" s="9" t="n">
        <v>235481</v>
      </c>
      <c r="J15" s="10" t="n">
        <f aca="false">G15-H15</f>
        <v>59232</v>
      </c>
      <c r="K15" s="11" t="n">
        <f aca="false">J15/I15</f>
        <v>0.251536217359362</v>
      </c>
      <c r="L15" s="11" t="n">
        <f aca="false">I15/N15</f>
        <v>0.697957235925616</v>
      </c>
      <c r="M15" s="4" t="n">
        <f aca="false">INDEX('Lok Sabha seats'!$E:$E,MATCH(D15,'Lok Sabha seats'!$A:$A,0))</f>
        <v>0.0438811341363238</v>
      </c>
      <c r="N15" s="9" t="n">
        <v>337386</v>
      </c>
      <c r="O15" s="15"/>
      <c r="P15" s="10" t="n">
        <f aca="false">IF(O15&lt;&gt;"",O15,ROUND(N15*M15/(1+M15),0))</f>
        <v>14183</v>
      </c>
      <c r="Q15" s="16" t="n">
        <f aca="false">P15/J15</f>
        <v>0.239448271204754</v>
      </c>
      <c r="R15" s="2" t="str">
        <f aca="false">IF(P15&gt;J15,"Yes","No")</f>
        <v>No</v>
      </c>
      <c r="S15" s="2" t="str">
        <f aca="false">IF(P15*L15&gt;J15,"Yes","No")</f>
        <v>No</v>
      </c>
      <c r="T15" s="2" t="s">
        <v>171</v>
      </c>
    </row>
    <row r="16" customFormat="false" ht="15" hidden="false" customHeight="false" outlineLevel="0" collapsed="false">
      <c r="A16" s="2" t="n">
        <v>15</v>
      </c>
      <c r="B16" s="2" t="s">
        <v>182</v>
      </c>
      <c r="C16" s="2" t="s">
        <v>149</v>
      </c>
      <c r="D16" s="2" t="s">
        <v>149</v>
      </c>
      <c r="E16" s="2" t="s">
        <v>25</v>
      </c>
      <c r="F16" s="2" t="s">
        <v>18</v>
      </c>
      <c r="G16" s="9" t="n">
        <v>109445</v>
      </c>
      <c r="H16" s="9" t="n">
        <v>76010</v>
      </c>
      <c r="I16" s="9" t="n">
        <v>204570</v>
      </c>
      <c r="J16" s="10" t="n">
        <f aca="false">G16-H16</f>
        <v>33435</v>
      </c>
      <c r="K16" s="11" t="n">
        <f aca="false">J16/I16</f>
        <v>0.163440387153542</v>
      </c>
      <c r="L16" s="11" t="n">
        <f aca="false">I16/N16</f>
        <v>0.663602273317071</v>
      </c>
      <c r="M16" s="4" t="n">
        <f aca="false">INDEX('Lok Sabha seats'!$E:$E,MATCH(D16,'Lok Sabha seats'!$A:$A,0))</f>
        <v>0.0438811341363238</v>
      </c>
      <c r="N16" s="9" t="n">
        <v>308272</v>
      </c>
      <c r="O16" s="15"/>
      <c r="P16" s="10" t="n">
        <f aca="false">IF(O16&lt;&gt;"",O16,ROUND(N16*M16/(1+M16),0))</f>
        <v>12959</v>
      </c>
      <c r="Q16" s="16" t="n">
        <f aca="false">P16/J16</f>
        <v>0.38758785703604</v>
      </c>
      <c r="R16" s="2" t="str">
        <f aca="false">IF(P16&gt;J16,"Yes","No")</f>
        <v>No</v>
      </c>
      <c r="S16" s="2" t="str">
        <f aca="false">IF(P16*L16&gt;J16,"Yes","No")</f>
        <v>No</v>
      </c>
      <c r="T16" s="2" t="s">
        <v>171</v>
      </c>
    </row>
    <row r="17" customFormat="false" ht="15" hidden="false" customHeight="false" outlineLevel="0" collapsed="false">
      <c r="A17" s="2" t="n">
        <v>16</v>
      </c>
      <c r="B17" s="2" t="s">
        <v>183</v>
      </c>
      <c r="C17" s="2" t="s">
        <v>149</v>
      </c>
      <c r="D17" s="2" t="s">
        <v>149</v>
      </c>
      <c r="E17" s="2" t="s">
        <v>27</v>
      </c>
      <c r="F17" s="2" t="s">
        <v>18</v>
      </c>
      <c r="G17" s="9" t="n">
        <v>101088</v>
      </c>
      <c r="H17" s="9" t="n">
        <v>44756</v>
      </c>
      <c r="I17" s="9" t="n">
        <v>203683</v>
      </c>
      <c r="J17" s="10" t="n">
        <f aca="false">G17-H17</f>
        <v>56332</v>
      </c>
      <c r="K17" s="11" t="n">
        <f aca="false">J17/I17</f>
        <v>0.276567018356957</v>
      </c>
      <c r="L17" s="11" t="n">
        <f aca="false">I17/N17</f>
        <v>0.693858988727683</v>
      </c>
      <c r="M17" s="4" t="n">
        <f aca="false">INDEX('Lok Sabha seats'!$E:$E,MATCH(D17,'Lok Sabha seats'!$A:$A,0))</f>
        <v>0.0438811341363238</v>
      </c>
      <c r="N17" s="9" t="n">
        <v>293551</v>
      </c>
      <c r="O17" s="15"/>
      <c r="P17" s="10" t="n">
        <f aca="false">IF(O17&lt;&gt;"",O17,ROUND(N17*M17/(1+M17),0))</f>
        <v>12340</v>
      </c>
      <c r="Q17" s="16" t="n">
        <f aca="false">P17/J17</f>
        <v>0.219058439253</v>
      </c>
      <c r="R17" s="2" t="str">
        <f aca="false">IF(P17&gt;J17,"Yes","No")</f>
        <v>No</v>
      </c>
      <c r="S17" s="2" t="str">
        <f aca="false">IF(P17*L17&gt;J17,"Yes","No")</f>
        <v>No</v>
      </c>
      <c r="T17" s="2" t="s">
        <v>171</v>
      </c>
    </row>
    <row r="18" customFormat="false" ht="15" hidden="false" customHeight="false" outlineLevel="0" collapsed="false">
      <c r="A18" s="2" t="n">
        <v>17</v>
      </c>
      <c r="B18" s="2" t="s">
        <v>184</v>
      </c>
      <c r="C18" s="2" t="s">
        <v>149</v>
      </c>
      <c r="D18" s="2" t="s">
        <v>149</v>
      </c>
      <c r="E18" s="2" t="s">
        <v>17</v>
      </c>
      <c r="F18" s="2" t="s">
        <v>18</v>
      </c>
      <c r="G18" s="9" t="n">
        <v>157101</v>
      </c>
      <c r="H18" s="9" t="n">
        <v>71448</v>
      </c>
      <c r="I18" s="9" t="n">
        <v>234199</v>
      </c>
      <c r="J18" s="10" t="n">
        <f aca="false">G18-H18</f>
        <v>85653</v>
      </c>
      <c r="K18" s="11" t="n">
        <f aca="false">J18/I18</f>
        <v>0.3657274369233</v>
      </c>
      <c r="L18" s="11" t="n">
        <f aca="false">I18/N18</f>
        <v>0.624512347637803</v>
      </c>
      <c r="M18" s="4" t="n">
        <f aca="false">INDEX('Lok Sabha seats'!$E:$E,MATCH(D18,'Lok Sabha seats'!$A:$A,0))</f>
        <v>0.0438811341363238</v>
      </c>
      <c r="N18" s="9" t="n">
        <v>375011</v>
      </c>
      <c r="O18" s="15"/>
      <c r="P18" s="10" t="n">
        <f aca="false">IF(O18&lt;&gt;"",O18,ROUND(N18*M18/(1+M18),0))</f>
        <v>15764</v>
      </c>
      <c r="Q18" s="16" t="n">
        <f aca="false">P18/J18</f>
        <v>0.184044925455034</v>
      </c>
      <c r="R18" s="2" t="str">
        <f aca="false">IF(P18&gt;J18,"Yes","No")</f>
        <v>No</v>
      </c>
      <c r="S18" s="2" t="str">
        <f aca="false">IF(P18*L18&gt;J18,"Yes","No")</f>
        <v>No</v>
      </c>
      <c r="T18" s="2" t="s">
        <v>171</v>
      </c>
    </row>
    <row r="19" customFormat="false" ht="15" hidden="false" customHeight="false" outlineLevel="0" collapsed="false">
      <c r="A19" s="2" t="n">
        <v>18</v>
      </c>
      <c r="B19" s="2" t="s">
        <v>185</v>
      </c>
      <c r="C19" s="2" t="s">
        <v>149</v>
      </c>
      <c r="D19" s="2" t="s">
        <v>149</v>
      </c>
      <c r="E19" s="2" t="s">
        <v>27</v>
      </c>
      <c r="F19" s="2" t="s">
        <v>18</v>
      </c>
      <c r="G19" s="9" t="n">
        <v>97366</v>
      </c>
      <c r="H19" s="9" t="n">
        <v>58677</v>
      </c>
      <c r="I19" s="9" t="n">
        <v>231934</v>
      </c>
      <c r="J19" s="10" t="n">
        <f aca="false">G19-H19</f>
        <v>38689</v>
      </c>
      <c r="K19" s="11" t="n">
        <f aca="false">J19/I19</f>
        <v>0.166810385713177</v>
      </c>
      <c r="L19" s="11" t="n">
        <f aca="false">I19/N19</f>
        <v>0.694704367099982</v>
      </c>
      <c r="M19" s="4" t="n">
        <f aca="false">INDEX('Lok Sabha seats'!$E:$E,MATCH(D19,'Lok Sabha seats'!$A:$A,0))</f>
        <v>0.0438811341363238</v>
      </c>
      <c r="N19" s="9" t="n">
        <v>333860</v>
      </c>
      <c r="O19" s="15"/>
      <c r="P19" s="10" t="n">
        <f aca="false">IF(O19&lt;&gt;"",O19,ROUND(N19*M19/(1+M19),0))</f>
        <v>14034</v>
      </c>
      <c r="Q19" s="16" t="n">
        <f aca="false">P19/J19</f>
        <v>0.362738762955879</v>
      </c>
      <c r="R19" s="2" t="str">
        <f aca="false">IF(P19&gt;J19,"Yes","No")</f>
        <v>No</v>
      </c>
      <c r="S19" s="2" t="str">
        <f aca="false">IF(P19*L19&gt;J19,"Yes","No")</f>
        <v>No</v>
      </c>
      <c r="T19" s="2" t="s">
        <v>171</v>
      </c>
    </row>
    <row r="20" customFormat="false" ht="15" hidden="false" customHeight="false" outlineLevel="0" collapsed="false">
      <c r="A20" s="2" t="n">
        <v>19</v>
      </c>
      <c r="B20" s="2" t="s">
        <v>186</v>
      </c>
      <c r="C20" s="2" t="s">
        <v>149</v>
      </c>
      <c r="D20" s="2" t="s">
        <v>154</v>
      </c>
      <c r="E20" s="2" t="s">
        <v>17</v>
      </c>
      <c r="F20" s="2" t="s">
        <v>18</v>
      </c>
      <c r="G20" s="9" t="n">
        <v>128667</v>
      </c>
      <c r="H20" s="9" t="n">
        <v>101782</v>
      </c>
      <c r="I20" s="9" t="n">
        <v>238980</v>
      </c>
      <c r="J20" s="10" t="n">
        <f aca="false">G20-H20</f>
        <v>26885</v>
      </c>
      <c r="K20" s="11" t="n">
        <f aca="false">J20/I20</f>
        <v>0.112498953887355</v>
      </c>
      <c r="L20" s="11" t="n">
        <f aca="false">I20/N20</f>
        <v>0.712790135829202</v>
      </c>
      <c r="M20" s="4" t="n">
        <f aca="false">INDEX('Lok Sabha seats'!$E:$E,MATCH(D20,'Lok Sabha seats'!$A:$A,0))</f>
        <v>0.0346919171126664</v>
      </c>
      <c r="N20" s="9" t="n">
        <v>335274</v>
      </c>
      <c r="O20" s="15"/>
      <c r="P20" s="10" t="n">
        <f aca="false">IF(O20&lt;&gt;"",O20,ROUND(N20*M20/(1+M20),0))</f>
        <v>11241</v>
      </c>
      <c r="Q20" s="16" t="n">
        <f aca="false">P20/J20</f>
        <v>0.418114190068812</v>
      </c>
      <c r="R20" s="2" t="str">
        <f aca="false">IF(P20&gt;J20,"Yes","No")</f>
        <v>No</v>
      </c>
      <c r="S20" s="2" t="str">
        <f aca="false">IF(P20*L20&gt;J20,"Yes","No")</f>
        <v>No</v>
      </c>
      <c r="T20" s="2" t="s">
        <v>171</v>
      </c>
    </row>
    <row r="21" customFormat="false" ht="15" hidden="false" customHeight="false" outlineLevel="0" collapsed="false">
      <c r="A21" s="2" t="n">
        <v>20</v>
      </c>
      <c r="B21" s="2" t="s">
        <v>187</v>
      </c>
      <c r="C21" s="2" t="s">
        <v>149</v>
      </c>
      <c r="D21" s="2" t="s">
        <v>154</v>
      </c>
      <c r="E21" s="2" t="s">
        <v>27</v>
      </c>
      <c r="F21" s="2" t="s">
        <v>18</v>
      </c>
      <c r="G21" s="9" t="n">
        <v>112318</v>
      </c>
      <c r="H21" s="9" t="n">
        <v>88414</v>
      </c>
      <c r="I21" s="9" t="n">
        <v>216579</v>
      </c>
      <c r="J21" s="10" t="n">
        <f aca="false">G21-H21</f>
        <v>23904</v>
      </c>
      <c r="K21" s="11" t="n">
        <f aca="false">J21/I21</f>
        <v>0.110370811574529</v>
      </c>
      <c r="L21" s="11" t="n">
        <f aca="false">I21/N21</f>
        <v>0.712280967164807</v>
      </c>
      <c r="M21" s="4" t="n">
        <f aca="false">INDEX('Lok Sabha seats'!$E:$E,MATCH(D21,'Lok Sabha seats'!$A:$A,0))</f>
        <v>0.0346919171126664</v>
      </c>
      <c r="N21" s="9" t="n">
        <v>304064</v>
      </c>
      <c r="O21" s="15"/>
      <c r="P21" s="10" t="n">
        <f aca="false">IF(O21&lt;&gt;"",O21,ROUND(N21*M21/(1+M21),0))</f>
        <v>10195</v>
      </c>
      <c r="Q21" s="16" t="n">
        <f aca="false">P21/J21</f>
        <v>0.42649765729585</v>
      </c>
      <c r="R21" s="2" t="str">
        <f aca="false">IF(P21&gt;J21,"Yes","No")</f>
        <v>No</v>
      </c>
      <c r="S21" s="2" t="str">
        <f aca="false">IF(P21*L21&gt;J21,"Yes","No")</f>
        <v>No</v>
      </c>
      <c r="T21" s="2" t="s">
        <v>171</v>
      </c>
    </row>
    <row r="22" customFormat="false" ht="15" hidden="false" customHeight="false" outlineLevel="0" collapsed="false">
      <c r="A22" s="2" t="n">
        <v>21</v>
      </c>
      <c r="B22" s="2" t="s">
        <v>188</v>
      </c>
      <c r="C22" s="2" t="s">
        <v>26</v>
      </c>
      <c r="D22" s="2" t="s">
        <v>154</v>
      </c>
      <c r="E22" s="2" t="s">
        <v>17</v>
      </c>
      <c r="F22" s="2" t="s">
        <v>18</v>
      </c>
      <c r="G22" s="9" t="n">
        <v>109921</v>
      </c>
      <c r="H22" s="9" t="n">
        <v>83524</v>
      </c>
      <c r="I22" s="9" t="n">
        <v>207476</v>
      </c>
      <c r="J22" s="10" t="n">
        <f aca="false">G22-H22</f>
        <v>26397</v>
      </c>
      <c r="K22" s="11" t="n">
        <f aca="false">J22/I22</f>
        <v>0.127229173494766</v>
      </c>
      <c r="L22" s="11" t="n">
        <f aca="false">I22/N22</f>
        <v>0.719441025018638</v>
      </c>
      <c r="M22" s="4" t="n">
        <f aca="false">INDEX('Lok Sabha seats'!$E:$E,MATCH(D22,'Lok Sabha seats'!$A:$A,0))</f>
        <v>0.0346919171126664</v>
      </c>
      <c r="N22" s="9" t="n">
        <v>288385</v>
      </c>
      <c r="O22" s="15"/>
      <c r="P22" s="10" t="n">
        <f aca="false">IF(O22&lt;&gt;"",O22,ROUND(N22*M22/(1+M22),0))</f>
        <v>9669</v>
      </c>
      <c r="Q22" s="16" t="n">
        <f aca="false">P22/J22</f>
        <v>0.366291624048187</v>
      </c>
      <c r="R22" s="2" t="str">
        <f aca="false">IF(P22&gt;J22,"Yes","No")</f>
        <v>No</v>
      </c>
      <c r="S22" s="2" t="str">
        <f aca="false">IF(P22*L22&gt;J22,"Yes","No")</f>
        <v>No</v>
      </c>
      <c r="T22" s="2" t="s">
        <v>171</v>
      </c>
    </row>
    <row r="23" customFormat="false" ht="15" hidden="false" customHeight="false" outlineLevel="0" collapsed="false">
      <c r="A23" s="2" t="n">
        <v>22</v>
      </c>
      <c r="B23" s="2" t="s">
        <v>26</v>
      </c>
      <c r="C23" s="2" t="s">
        <v>26</v>
      </c>
      <c r="D23" s="2" t="s">
        <v>26</v>
      </c>
      <c r="E23" s="2" t="s">
        <v>27</v>
      </c>
      <c r="F23" s="2" t="s">
        <v>18</v>
      </c>
      <c r="G23" s="9" t="n">
        <v>91660</v>
      </c>
      <c r="H23" s="9" t="n">
        <v>90819</v>
      </c>
      <c r="I23" s="9" t="n">
        <v>194773</v>
      </c>
      <c r="J23" s="10" t="n">
        <f aca="false">G23-H23</f>
        <v>841</v>
      </c>
      <c r="K23" s="11" t="n">
        <f aca="false">J23/I23</f>
        <v>0.00431784692950255</v>
      </c>
      <c r="L23" s="11" t="n">
        <f aca="false">I23/N23</f>
        <v>0.634220757653709</v>
      </c>
      <c r="M23" s="4" t="n">
        <f aca="false">INDEX('Lok Sabha seats'!$E:$E,MATCH(D23,'Lok Sabha seats'!$A:$A,0))</f>
        <v>0.0355724462893364</v>
      </c>
      <c r="N23" s="9" t="n">
        <v>307106</v>
      </c>
      <c r="O23" s="15"/>
      <c r="P23" s="10" t="n">
        <f aca="false">IF(O23&lt;&gt;"",O23,ROUND(N23*M23/(1+M23),0))</f>
        <v>10549</v>
      </c>
      <c r="Q23" s="16" t="n">
        <f aca="false">P23/J23</f>
        <v>12.5434007134364</v>
      </c>
      <c r="R23" s="2" t="str">
        <f aca="false">IF(P23&gt;J23,"Yes","No")</f>
        <v>Yes</v>
      </c>
      <c r="S23" s="2" t="str">
        <f aca="false">IF(P23*L23&gt;J23,"Yes","No")</f>
        <v>Yes</v>
      </c>
      <c r="T23" s="2" t="s">
        <v>171</v>
      </c>
    </row>
    <row r="24" customFormat="false" ht="15" hidden="false" customHeight="false" outlineLevel="0" collapsed="false">
      <c r="A24" s="2" t="n">
        <v>23</v>
      </c>
      <c r="B24" s="2" t="s">
        <v>75</v>
      </c>
      <c r="C24" s="2" t="s">
        <v>26</v>
      </c>
      <c r="D24" s="2" t="s">
        <v>26</v>
      </c>
      <c r="E24" s="2" t="s">
        <v>17</v>
      </c>
      <c r="F24" s="2" t="s">
        <v>18</v>
      </c>
      <c r="G24" s="9" t="n">
        <v>109212</v>
      </c>
      <c r="H24" s="9" t="n">
        <v>106011</v>
      </c>
      <c r="I24" s="9" t="n">
        <v>223429</v>
      </c>
      <c r="J24" s="10" t="n">
        <f aca="false">G24-H24</f>
        <v>3201</v>
      </c>
      <c r="K24" s="11" t="n">
        <f aca="false">J24/I24</f>
        <v>0.0143266988618308</v>
      </c>
      <c r="L24" s="11" t="n">
        <f aca="false">I24/N24</f>
        <v>0.730833644077222</v>
      </c>
      <c r="M24" s="4" t="n">
        <f aca="false">INDEX('Lok Sabha seats'!$E:$E,MATCH(D24,'Lok Sabha seats'!$A:$A,0))</f>
        <v>0.0355724462893364</v>
      </c>
      <c r="N24" s="9" t="n">
        <v>305718</v>
      </c>
      <c r="O24" s="15"/>
      <c r="P24" s="10" t="n">
        <f aca="false">IF(O24&lt;&gt;"",O24,ROUND(N24*M24/(1+M24),0))</f>
        <v>10502</v>
      </c>
      <c r="Q24" s="16" t="n">
        <f aca="false">P24/J24</f>
        <v>3.28084973445798</v>
      </c>
      <c r="R24" s="2" t="str">
        <f aca="false">IF(P24&gt;J24,"Yes","No")</f>
        <v>Yes</v>
      </c>
      <c r="S24" s="2" t="str">
        <f aca="false">IF(P24*L24&gt;J24,"Yes","No")</f>
        <v>Yes</v>
      </c>
      <c r="T24" s="2" t="s">
        <v>171</v>
      </c>
    </row>
    <row r="25" customFormat="false" ht="15" hidden="false" customHeight="false" outlineLevel="0" collapsed="false">
      <c r="A25" s="2" t="n">
        <v>24</v>
      </c>
      <c r="B25" s="2" t="s">
        <v>85</v>
      </c>
      <c r="C25" s="2" t="s">
        <v>26</v>
      </c>
      <c r="D25" s="2" t="s">
        <v>26</v>
      </c>
      <c r="E25" s="2" t="s">
        <v>25</v>
      </c>
      <c r="F25" s="2" t="s">
        <v>18</v>
      </c>
      <c r="G25" s="9" t="n">
        <v>73413</v>
      </c>
      <c r="H25" s="9" t="n">
        <v>68763</v>
      </c>
      <c r="I25" s="9" t="n">
        <v>230496</v>
      </c>
      <c r="J25" s="10" t="n">
        <f aca="false">G25-H25</f>
        <v>4650</v>
      </c>
      <c r="K25" s="11" t="n">
        <f aca="false">J25/I25</f>
        <v>0.020173885880883</v>
      </c>
      <c r="L25" s="11" t="n">
        <f aca="false">I25/N25</f>
        <v>0.713620953884735</v>
      </c>
      <c r="M25" s="4" t="n">
        <f aca="false">INDEX('Lok Sabha seats'!$E:$E,MATCH(D25,'Lok Sabha seats'!$A:$A,0))</f>
        <v>0.0355724462893364</v>
      </c>
      <c r="N25" s="9" t="n">
        <v>322995</v>
      </c>
      <c r="O25" s="15"/>
      <c r="P25" s="10" t="n">
        <f aca="false">IF(O25&lt;&gt;"",O25,ROUND(N25*M25/(1+M25),0))</f>
        <v>11095</v>
      </c>
      <c r="Q25" s="16" t="n">
        <f aca="false">P25/J25</f>
        <v>2.38602150537634</v>
      </c>
      <c r="R25" s="2" t="str">
        <f aca="false">IF(P25&gt;J25,"Yes","No")</f>
        <v>Yes</v>
      </c>
      <c r="S25" s="2" t="str">
        <f aca="false">IF(P25*L25&gt;J25,"Yes","No")</f>
        <v>Yes</v>
      </c>
      <c r="T25" s="2" t="s">
        <v>171</v>
      </c>
    </row>
    <row r="26" customFormat="false" ht="15" hidden="false" customHeight="false" outlineLevel="0" collapsed="false">
      <c r="A26" s="2" t="n">
        <v>25</v>
      </c>
      <c r="B26" s="2" t="s">
        <v>89</v>
      </c>
      <c r="C26" s="2" t="s">
        <v>26</v>
      </c>
      <c r="D26" s="2" t="s">
        <v>26</v>
      </c>
      <c r="E26" s="2" t="s">
        <v>44</v>
      </c>
      <c r="F26" s="2" t="s">
        <v>22</v>
      </c>
      <c r="G26" s="9" t="n">
        <v>104242</v>
      </c>
      <c r="H26" s="9" t="n">
        <v>99423</v>
      </c>
      <c r="I26" s="9" t="n">
        <v>214137</v>
      </c>
      <c r="J26" s="10" t="n">
        <f aca="false">G26-H26</f>
        <v>4819</v>
      </c>
      <c r="K26" s="11" t="n">
        <f aca="false">J26/I26</f>
        <v>0.022504284640207</v>
      </c>
      <c r="L26" s="11" t="n">
        <f aca="false">I26/N26</f>
        <v>0.699885605961564</v>
      </c>
      <c r="M26" s="4" t="n">
        <f aca="false">INDEX('Lok Sabha seats'!$E:$E,MATCH(D26,'Lok Sabha seats'!$A:$A,0))</f>
        <v>0.0355724462893364</v>
      </c>
      <c r="N26" s="9" t="n">
        <v>305960</v>
      </c>
      <c r="O26" s="15"/>
      <c r="P26" s="10" t="n">
        <f aca="false">IF(O26&lt;&gt;"",O26,ROUND(N26*M26/(1+M26),0))</f>
        <v>10510</v>
      </c>
      <c r="Q26" s="16" t="n">
        <f aca="false">P26/J26</f>
        <v>2.18095040464827</v>
      </c>
      <c r="R26" s="2" t="str">
        <f aca="false">IF(P26&gt;J26,"Yes","No")</f>
        <v>Yes</v>
      </c>
      <c r="S26" s="2" t="str">
        <f aca="false">IF(P26*L26&gt;J26,"Yes","No")</f>
        <v>Yes</v>
      </c>
      <c r="T26" s="2" t="s">
        <v>171</v>
      </c>
    </row>
    <row r="27" customFormat="false" ht="15" hidden="false" customHeight="false" outlineLevel="0" collapsed="false">
      <c r="A27" s="2" t="n">
        <v>26</v>
      </c>
      <c r="B27" s="2" t="s">
        <v>189</v>
      </c>
      <c r="C27" s="2" t="s">
        <v>26</v>
      </c>
      <c r="D27" s="2" t="s">
        <v>26</v>
      </c>
      <c r="E27" s="2" t="s">
        <v>17</v>
      </c>
      <c r="F27" s="2" t="s">
        <v>18</v>
      </c>
      <c r="G27" s="9" t="n">
        <v>110599</v>
      </c>
      <c r="H27" s="9" t="n">
        <v>85122</v>
      </c>
      <c r="I27" s="9" t="n">
        <v>228510</v>
      </c>
      <c r="J27" s="10" t="n">
        <f aca="false">G27-H27</f>
        <v>25477</v>
      </c>
      <c r="K27" s="11" t="n">
        <f aca="false">J27/I27</f>
        <v>0.111491838431578</v>
      </c>
      <c r="L27" s="11" t="n">
        <f aca="false">I27/N27</f>
        <v>0.767012842287579</v>
      </c>
      <c r="M27" s="4" t="n">
        <f aca="false">INDEX('Lok Sabha seats'!$E:$E,MATCH(D27,'Lok Sabha seats'!$A:$A,0))</f>
        <v>0.0355724462893364</v>
      </c>
      <c r="N27" s="9" t="n">
        <v>297922</v>
      </c>
      <c r="O27" s="15"/>
      <c r="P27" s="10" t="n">
        <f aca="false">IF(O27&lt;&gt;"",O27,ROUND(N27*M27/(1+M27),0))</f>
        <v>10234</v>
      </c>
      <c r="Q27" s="16" t="n">
        <f aca="false">P27/J27</f>
        <v>0.401695647054206</v>
      </c>
      <c r="R27" s="2" t="str">
        <f aca="false">IF(P27&gt;J27,"Yes","No")</f>
        <v>No</v>
      </c>
      <c r="S27" s="2" t="str">
        <f aca="false">IF(P27*L27&gt;J27,"Yes","No")</f>
        <v>No</v>
      </c>
      <c r="T27" s="2" t="s">
        <v>171</v>
      </c>
    </row>
    <row r="28" customFormat="false" ht="15" hidden="false" customHeight="false" outlineLevel="0" collapsed="false">
      <c r="A28" s="2" t="n">
        <v>27</v>
      </c>
      <c r="B28" s="2" t="s">
        <v>190</v>
      </c>
      <c r="C28" s="2" t="s">
        <v>26</v>
      </c>
      <c r="D28" s="2" t="s">
        <v>26</v>
      </c>
      <c r="E28" s="2" t="s">
        <v>17</v>
      </c>
      <c r="F28" s="2" t="s">
        <v>18</v>
      </c>
      <c r="G28" s="9" t="n">
        <v>107318</v>
      </c>
      <c r="H28" s="9" t="n">
        <v>88547</v>
      </c>
      <c r="I28" s="9" t="n">
        <v>227417</v>
      </c>
      <c r="J28" s="10" t="n">
        <f aca="false">G28-H28</f>
        <v>18771</v>
      </c>
      <c r="K28" s="11" t="n">
        <f aca="false">J28/I28</f>
        <v>0.0825400036057111</v>
      </c>
      <c r="L28" s="11" t="n">
        <f aca="false">I28/N28</f>
        <v>0.742188672841319</v>
      </c>
      <c r="M28" s="4" t="n">
        <f aca="false">INDEX('Lok Sabha seats'!$E:$E,MATCH(D28,'Lok Sabha seats'!$A:$A,0))</f>
        <v>0.0355724462893364</v>
      </c>
      <c r="N28" s="9" t="n">
        <v>306414</v>
      </c>
      <c r="O28" s="15"/>
      <c r="P28" s="10" t="n">
        <f aca="false">IF(O28&lt;&gt;"",O28,ROUND(N28*M28/(1+M28),0))</f>
        <v>10525</v>
      </c>
      <c r="Q28" s="16" t="n">
        <f aca="false">P28/J28</f>
        <v>0.560705343348783</v>
      </c>
      <c r="R28" s="2" t="str">
        <f aca="false">IF(P28&gt;J28,"Yes","No")</f>
        <v>No</v>
      </c>
      <c r="S28" s="2" t="str">
        <f aca="false">IF(P28*L28&gt;J28,"Yes","No")</f>
        <v>No</v>
      </c>
      <c r="T28" s="2" t="s">
        <v>171</v>
      </c>
    </row>
    <row r="29" customFormat="false" ht="15" hidden="false" customHeight="false" outlineLevel="0" collapsed="false">
      <c r="A29" s="2" t="n">
        <v>28</v>
      </c>
      <c r="B29" s="2" t="s">
        <v>191</v>
      </c>
      <c r="C29" s="2" t="s">
        <v>31</v>
      </c>
      <c r="D29" s="2" t="s">
        <v>31</v>
      </c>
      <c r="E29" s="2" t="s">
        <v>17</v>
      </c>
      <c r="F29" s="2" t="s">
        <v>18</v>
      </c>
      <c r="G29" s="9" t="n">
        <v>93338</v>
      </c>
      <c r="H29" s="9" t="n">
        <v>74487</v>
      </c>
      <c r="I29" s="9" t="n">
        <v>214521</v>
      </c>
      <c r="J29" s="10" t="n">
        <f aca="false">G29-H29</f>
        <v>18851</v>
      </c>
      <c r="K29" s="11" t="n">
        <f aca="false">J29/I29</f>
        <v>0.0878748467516001</v>
      </c>
      <c r="L29" s="11" t="n">
        <f aca="false">I29/N29</f>
        <v>0.689374706763245</v>
      </c>
      <c r="M29" s="4" t="n">
        <f aca="false">INDEX('Lok Sabha seats'!$E:$E,MATCH(D29,'Lok Sabha seats'!$A:$A,0))</f>
        <v>0.0377995931910807</v>
      </c>
      <c r="N29" s="9" t="n">
        <v>311182</v>
      </c>
      <c r="O29" s="15"/>
      <c r="P29" s="10" t="n">
        <f aca="false">IF(O29&lt;&gt;"",O29,ROUND(N29*M29/(1+M29),0))</f>
        <v>11334</v>
      </c>
      <c r="Q29" s="16" t="n">
        <f aca="false">P29/J29</f>
        <v>0.601241313458172</v>
      </c>
      <c r="R29" s="2" t="str">
        <f aca="false">IF(P29&gt;J29,"Yes","No")</f>
        <v>No</v>
      </c>
      <c r="S29" s="2" t="str">
        <f aca="false">IF(P29*L29&gt;J29,"Yes","No")</f>
        <v>No</v>
      </c>
      <c r="T29" s="2" t="s">
        <v>171</v>
      </c>
    </row>
    <row r="30" customFormat="false" ht="15" hidden="false" customHeight="false" outlineLevel="0" collapsed="false">
      <c r="A30" s="2" t="n">
        <v>29</v>
      </c>
      <c r="B30" s="2" t="s">
        <v>192</v>
      </c>
      <c r="C30" s="2" t="s">
        <v>31</v>
      </c>
      <c r="D30" s="2" t="s">
        <v>31</v>
      </c>
      <c r="E30" s="2" t="s">
        <v>44</v>
      </c>
      <c r="F30" s="2" t="s">
        <v>22</v>
      </c>
      <c r="G30" s="9" t="n">
        <v>82088</v>
      </c>
      <c r="H30" s="9" t="n">
        <v>70349</v>
      </c>
      <c r="I30" s="9" t="n">
        <v>221620</v>
      </c>
      <c r="J30" s="10" t="n">
        <f aca="false">G30-H30</f>
        <v>11739</v>
      </c>
      <c r="K30" s="11" t="n">
        <f aca="false">J30/I30</f>
        <v>0.0529690461149716</v>
      </c>
      <c r="L30" s="11" t="n">
        <f aca="false">I30/N30</f>
        <v>0.714437688989755</v>
      </c>
      <c r="M30" s="4" t="n">
        <f aca="false">INDEX('Lok Sabha seats'!$E:$E,MATCH(D30,'Lok Sabha seats'!$A:$A,0))</f>
        <v>0.0377995931910807</v>
      </c>
      <c r="N30" s="9" t="n">
        <v>310202</v>
      </c>
      <c r="O30" s="15"/>
      <c r="P30" s="10" t="n">
        <f aca="false">IF(O30&lt;&gt;"",O30,ROUND(N30*M30/(1+M30),0))</f>
        <v>11298</v>
      </c>
      <c r="Q30" s="16" t="n">
        <f aca="false">P30/J30</f>
        <v>0.962432915921288</v>
      </c>
      <c r="R30" s="2" t="str">
        <f aca="false">IF(P30&gt;J30,"Yes","No")</f>
        <v>No</v>
      </c>
      <c r="S30" s="2" t="str">
        <f aca="false">IF(P30*L30&gt;J30,"Yes","No")</f>
        <v>No</v>
      </c>
      <c r="T30" s="2" t="s">
        <v>171</v>
      </c>
    </row>
    <row r="31" customFormat="false" ht="15" hidden="false" customHeight="false" outlineLevel="0" collapsed="false">
      <c r="A31" s="2" t="n">
        <v>30</v>
      </c>
      <c r="B31" s="2" t="s">
        <v>30</v>
      </c>
      <c r="C31" s="2" t="s">
        <v>31</v>
      </c>
      <c r="D31" s="2" t="s">
        <v>31</v>
      </c>
      <c r="E31" s="2" t="s">
        <v>21</v>
      </c>
      <c r="F31" s="2" t="s">
        <v>22</v>
      </c>
      <c r="G31" s="9" t="n">
        <v>88718</v>
      </c>
      <c r="H31" s="9" t="n">
        <v>87435</v>
      </c>
      <c r="I31" s="9" t="n">
        <v>205318</v>
      </c>
      <c r="J31" s="10" t="n">
        <f aca="false">G31-H31</f>
        <v>1283</v>
      </c>
      <c r="K31" s="11" t="n">
        <f aca="false">J31/I31</f>
        <v>0.00624884325777574</v>
      </c>
      <c r="L31" s="11" t="n">
        <f aca="false">I31/N31</f>
        <v>0.585293404980117</v>
      </c>
      <c r="M31" s="4" t="n">
        <f aca="false">INDEX('Lok Sabha seats'!$E:$E,MATCH(D31,'Lok Sabha seats'!$A:$A,0))</f>
        <v>0.0377995931910807</v>
      </c>
      <c r="N31" s="9" t="n">
        <v>350795</v>
      </c>
      <c r="O31" s="15"/>
      <c r="P31" s="10" t="n">
        <f aca="false">IF(O31&lt;&gt;"",O31,ROUND(N31*M31/(1+M31),0))</f>
        <v>12777</v>
      </c>
      <c r="Q31" s="16" t="n">
        <f aca="false">P31/J31</f>
        <v>9.95869056897896</v>
      </c>
      <c r="R31" s="2" t="str">
        <f aca="false">IF(P31&gt;J31,"Yes","No")</f>
        <v>Yes</v>
      </c>
      <c r="S31" s="2" t="str">
        <f aca="false">IF(P31*L31&gt;J31,"Yes","No")</f>
        <v>Yes</v>
      </c>
      <c r="T31" s="2" t="s">
        <v>171</v>
      </c>
    </row>
    <row r="32" customFormat="false" ht="15" hidden="false" customHeight="false" outlineLevel="0" collapsed="false">
      <c r="A32" s="2" t="n">
        <v>31</v>
      </c>
      <c r="B32" s="2" t="s">
        <v>193</v>
      </c>
      <c r="C32" s="2" t="s">
        <v>31</v>
      </c>
      <c r="D32" s="2" t="s">
        <v>31</v>
      </c>
      <c r="E32" s="2" t="s">
        <v>17</v>
      </c>
      <c r="F32" s="2" t="s">
        <v>18</v>
      </c>
      <c r="G32" s="9" t="n">
        <v>108619</v>
      </c>
      <c r="H32" s="9" t="n">
        <v>58006</v>
      </c>
      <c r="I32" s="9" t="n">
        <v>221853</v>
      </c>
      <c r="J32" s="10" t="n">
        <f aca="false">G32-H32</f>
        <v>50613</v>
      </c>
      <c r="K32" s="11" t="n">
        <f aca="false">J32/I32</f>
        <v>0.228137550540223</v>
      </c>
      <c r="L32" s="11" t="n">
        <f aca="false">I32/N32</f>
        <v>0.624614284427226</v>
      </c>
      <c r="M32" s="4" t="n">
        <f aca="false">INDEX('Lok Sabha seats'!$E:$E,MATCH(D32,'Lok Sabha seats'!$A:$A,0))</f>
        <v>0.0377995931910807</v>
      </c>
      <c r="N32" s="9" t="n">
        <v>355184</v>
      </c>
      <c r="O32" s="15"/>
      <c r="P32" s="10" t="n">
        <f aca="false">IF(O32&lt;&gt;"",O32,ROUND(N32*M32/(1+M32),0))</f>
        <v>12937</v>
      </c>
      <c r="Q32" s="16" t="n">
        <f aca="false">P32/J32</f>
        <v>0.255606267164563</v>
      </c>
      <c r="R32" s="2" t="str">
        <f aca="false">IF(P32&gt;J32,"Yes","No")</f>
        <v>No</v>
      </c>
      <c r="S32" s="2" t="str">
        <f aca="false">IF(P32*L32&gt;J32,"Yes","No")</f>
        <v>No</v>
      </c>
      <c r="T32" s="2" t="s">
        <v>171</v>
      </c>
    </row>
    <row r="33" customFormat="false" ht="15" hidden="false" customHeight="false" outlineLevel="0" collapsed="false">
      <c r="A33" s="2" t="n">
        <v>32</v>
      </c>
      <c r="B33" s="2" t="s">
        <v>194</v>
      </c>
      <c r="C33" s="2" t="s">
        <v>31</v>
      </c>
      <c r="D33" s="2" t="s">
        <v>31</v>
      </c>
      <c r="E33" s="2" t="s">
        <v>17</v>
      </c>
      <c r="F33" s="2" t="s">
        <v>18</v>
      </c>
      <c r="G33" s="9" t="n">
        <v>91820</v>
      </c>
      <c r="H33" s="9" t="n">
        <v>55956</v>
      </c>
      <c r="I33" s="9" t="n">
        <v>208777</v>
      </c>
      <c r="J33" s="10" t="n">
        <f aca="false">G33-H33</f>
        <v>35864</v>
      </c>
      <c r="K33" s="11" t="n">
        <f aca="false">J33/I33</f>
        <v>0.171781374385109</v>
      </c>
      <c r="L33" s="11" t="n">
        <f aca="false">I33/N33</f>
        <v>0.672322570049367</v>
      </c>
      <c r="M33" s="4" t="n">
        <f aca="false">INDEX('Lok Sabha seats'!$E:$E,MATCH(D33,'Lok Sabha seats'!$A:$A,0))</f>
        <v>0.0377995931910807</v>
      </c>
      <c r="N33" s="9" t="n">
        <v>310531</v>
      </c>
      <c r="O33" s="15"/>
      <c r="P33" s="10" t="n">
        <f aca="false">IF(O33&lt;&gt;"",O33,ROUND(N33*M33/(1+M33),0))</f>
        <v>11310</v>
      </c>
      <c r="Q33" s="16" t="n">
        <f aca="false">P33/J33</f>
        <v>0.315358019183582</v>
      </c>
      <c r="R33" s="2" t="str">
        <f aca="false">IF(P33&gt;J33,"Yes","No")</f>
        <v>No</v>
      </c>
      <c r="S33" s="2" t="str">
        <f aca="false">IF(P33*L33&gt;J33,"Yes","No")</f>
        <v>No</v>
      </c>
      <c r="T33" s="2" t="s">
        <v>171</v>
      </c>
    </row>
    <row r="34" customFormat="false" ht="15" hidden="false" customHeight="false" outlineLevel="0" collapsed="false">
      <c r="A34" s="2" t="n">
        <v>33</v>
      </c>
      <c r="B34" s="2" t="s">
        <v>99</v>
      </c>
      <c r="C34" s="2" t="s">
        <v>195</v>
      </c>
      <c r="D34" s="2" t="s">
        <v>31</v>
      </c>
      <c r="E34" s="2" t="s">
        <v>21</v>
      </c>
      <c r="F34" s="2" t="s">
        <v>22</v>
      </c>
      <c r="G34" s="9" t="n">
        <v>76809</v>
      </c>
      <c r="H34" s="9" t="n">
        <v>70673</v>
      </c>
      <c r="I34" s="9" t="n">
        <v>231005</v>
      </c>
      <c r="J34" s="10" t="n">
        <f aca="false">G34-H34</f>
        <v>6136</v>
      </c>
      <c r="K34" s="11" t="n">
        <f aca="false">J34/I34</f>
        <v>0.0265621956234714</v>
      </c>
      <c r="L34" s="11" t="n">
        <f aca="false">I34/N34</f>
        <v>0.712116821623221</v>
      </c>
      <c r="M34" s="4" t="n">
        <f aca="false">INDEX('Lok Sabha seats'!$E:$E,MATCH(D34,'Lok Sabha seats'!$A:$A,0))</f>
        <v>0.0377995931910807</v>
      </c>
      <c r="N34" s="9" t="n">
        <v>324392</v>
      </c>
      <c r="O34" s="15"/>
      <c r="P34" s="10" t="n">
        <f aca="false">IF(O34&lt;&gt;"",O34,ROUND(N34*M34/(1+M34),0))</f>
        <v>11815</v>
      </c>
      <c r="Q34" s="16" t="n">
        <f aca="false">P34/J34</f>
        <v>1.92552151238592</v>
      </c>
      <c r="R34" s="2" t="str">
        <f aca="false">IF(P34&gt;J34,"Yes","No")</f>
        <v>Yes</v>
      </c>
      <c r="S34" s="2" t="str">
        <f aca="false">IF(P34*L34&gt;J34,"Yes","No")</f>
        <v>Yes</v>
      </c>
      <c r="T34" s="2" t="s">
        <v>171</v>
      </c>
    </row>
    <row r="35" customFormat="false" ht="15" hidden="false" customHeight="false" outlineLevel="0" collapsed="false">
      <c r="A35" s="2" t="n">
        <v>34</v>
      </c>
      <c r="B35" s="2" t="s">
        <v>196</v>
      </c>
      <c r="C35" s="2" t="s">
        <v>195</v>
      </c>
      <c r="D35" s="2" t="s">
        <v>67</v>
      </c>
      <c r="E35" s="2" t="s">
        <v>17</v>
      </c>
      <c r="F35" s="2" t="s">
        <v>18</v>
      </c>
      <c r="G35" s="9" t="n">
        <v>122914</v>
      </c>
      <c r="H35" s="9" t="n">
        <v>103040</v>
      </c>
      <c r="I35" s="9" t="n">
        <v>245337</v>
      </c>
      <c r="J35" s="10" t="n">
        <f aca="false">G35-H35</f>
        <v>19874</v>
      </c>
      <c r="K35" s="11" t="n">
        <f aca="false">J35/I35</f>
        <v>0.0810069414723421</v>
      </c>
      <c r="L35" s="11" t="n">
        <f aca="false">I35/N35</f>
        <v>0.665819026579894</v>
      </c>
      <c r="M35" s="4" t="n">
        <f aca="false">INDEX('Lok Sabha seats'!$E:$E,MATCH(D35,'Lok Sabha seats'!$A:$A,0))</f>
        <v>0.0364714392585769</v>
      </c>
      <c r="N35" s="9" t="n">
        <v>368474</v>
      </c>
      <c r="O35" s="15"/>
      <c r="P35" s="10" t="n">
        <f aca="false">IF(O35&lt;&gt;"",O35,ROUND(N35*M35/(1+M35),0))</f>
        <v>12966</v>
      </c>
      <c r="Q35" s="16" t="n">
        <f aca="false">P35/J35</f>
        <v>0.652410184160209</v>
      </c>
      <c r="R35" s="2" t="str">
        <f aca="false">IF(P35&gt;J35,"Yes","No")</f>
        <v>No</v>
      </c>
      <c r="S35" s="2" t="str">
        <f aca="false">IF(P35*L35&gt;J35,"Yes","No")</f>
        <v>No</v>
      </c>
      <c r="T35" s="2" t="s">
        <v>171</v>
      </c>
    </row>
    <row r="36" customFormat="false" ht="15" hidden="false" customHeight="false" outlineLevel="0" collapsed="false">
      <c r="A36" s="2" t="n">
        <v>35</v>
      </c>
      <c r="B36" s="2" t="s">
        <v>197</v>
      </c>
      <c r="C36" s="2" t="s">
        <v>195</v>
      </c>
      <c r="D36" s="2" t="s">
        <v>67</v>
      </c>
      <c r="E36" s="2" t="s">
        <v>17</v>
      </c>
      <c r="F36" s="2" t="s">
        <v>18</v>
      </c>
      <c r="G36" s="9" t="n">
        <v>85005</v>
      </c>
      <c r="H36" s="9" t="n">
        <v>49932</v>
      </c>
      <c r="I36" s="9" t="n">
        <v>209166</v>
      </c>
      <c r="J36" s="10" t="n">
        <f aca="false">G36-H36</f>
        <v>35073</v>
      </c>
      <c r="K36" s="11" t="n">
        <f aca="false">J36/I36</f>
        <v>0.167680215713835</v>
      </c>
      <c r="L36" s="11" t="n">
        <f aca="false">I36/N36</f>
        <v>0.661413289231947</v>
      </c>
      <c r="M36" s="4" t="n">
        <f aca="false">INDEX('Lok Sabha seats'!$E:$E,MATCH(D36,'Lok Sabha seats'!$A:$A,0))</f>
        <v>0.0364714392585769</v>
      </c>
      <c r="N36" s="9" t="n">
        <v>316241</v>
      </c>
      <c r="O36" s="15"/>
      <c r="P36" s="10" t="n">
        <f aca="false">IF(O36&lt;&gt;"",O36,ROUND(N36*M36/(1+M36),0))</f>
        <v>11128</v>
      </c>
      <c r="Q36" s="16" t="n">
        <f aca="false">P36/J36</f>
        <v>0.317281099421207</v>
      </c>
      <c r="R36" s="2" t="str">
        <f aca="false">IF(P36&gt;J36,"Yes","No")</f>
        <v>No</v>
      </c>
      <c r="S36" s="2" t="str">
        <f aca="false">IF(P36*L36&gt;J36,"Yes","No")</f>
        <v>No</v>
      </c>
      <c r="T36" s="2" t="s">
        <v>171</v>
      </c>
    </row>
    <row r="37" customFormat="false" ht="15" hidden="false" customHeight="false" outlineLevel="0" collapsed="false">
      <c r="A37" s="2" t="n">
        <v>36</v>
      </c>
      <c r="B37" s="2" t="s">
        <v>198</v>
      </c>
      <c r="C37" s="2" t="s">
        <v>70</v>
      </c>
      <c r="D37" s="2" t="s">
        <v>117</v>
      </c>
      <c r="E37" s="2" t="s">
        <v>17</v>
      </c>
      <c r="F37" s="2" t="s">
        <v>18</v>
      </c>
      <c r="G37" s="9" t="n">
        <v>110641</v>
      </c>
      <c r="H37" s="9" t="n">
        <v>94413</v>
      </c>
      <c r="I37" s="9" t="n">
        <v>223337</v>
      </c>
      <c r="J37" s="10" t="n">
        <f aca="false">G37-H37</f>
        <v>16228</v>
      </c>
      <c r="K37" s="11" t="n">
        <f aca="false">J37/I37</f>
        <v>0.072661493617269</v>
      </c>
      <c r="L37" s="11" t="n">
        <f aca="false">I37/N37</f>
        <v>0.702635784757878</v>
      </c>
      <c r="M37" s="4" t="n">
        <f aca="false">INDEX('Lok Sabha seats'!$E:$E,MATCH(D37,'Lok Sabha seats'!$A:$A,0))</f>
        <v>0.034775973676751</v>
      </c>
      <c r="N37" s="9" t="n">
        <v>317856</v>
      </c>
      <c r="O37" s="15"/>
      <c r="P37" s="10" t="n">
        <f aca="false">IF(O37&lt;&gt;"",O37,ROUND(N37*M37/(1+M37),0))</f>
        <v>10682</v>
      </c>
      <c r="Q37" s="16" t="n">
        <f aca="false">P37/J37</f>
        <v>0.658245008627064</v>
      </c>
      <c r="R37" s="2" t="str">
        <f aca="false">IF(P37&gt;J37,"Yes","No")</f>
        <v>No</v>
      </c>
      <c r="S37" s="2" t="str">
        <f aca="false">IF(P37*L37&gt;J37,"Yes","No")</f>
        <v>No</v>
      </c>
      <c r="T37" s="2" t="s">
        <v>171</v>
      </c>
    </row>
    <row r="38" customFormat="false" ht="15" hidden="false" customHeight="false" outlineLevel="0" collapsed="false">
      <c r="A38" s="2" t="n">
        <v>37</v>
      </c>
      <c r="B38" s="2" t="s">
        <v>199</v>
      </c>
      <c r="C38" s="2" t="s">
        <v>70</v>
      </c>
      <c r="D38" s="2" t="s">
        <v>70</v>
      </c>
      <c r="E38" s="2" t="s">
        <v>200</v>
      </c>
      <c r="F38" s="2" t="s">
        <v>13</v>
      </c>
      <c r="G38" s="9" t="n">
        <v>127800</v>
      </c>
      <c r="H38" s="9" t="n">
        <v>60826</v>
      </c>
      <c r="I38" s="9" t="n">
        <v>212504</v>
      </c>
      <c r="J38" s="10" t="n">
        <f aca="false">G38-H38</f>
        <v>66974</v>
      </c>
      <c r="K38" s="11" t="n">
        <f aca="false">J38/I38</f>
        <v>0.315165832172571</v>
      </c>
      <c r="L38" s="11" t="n">
        <f aca="false">I38/N38</f>
        <v>0.58408300694015</v>
      </c>
      <c r="M38" s="4" t="n">
        <f aca="false">INDEX('Lok Sabha seats'!$E:$E,MATCH(D38,'Lok Sabha seats'!$A:$A,0))</f>
        <v>0.0552345815373857</v>
      </c>
      <c r="N38" s="9" t="n">
        <v>363825</v>
      </c>
      <c r="O38" s="15"/>
      <c r="P38" s="10" t="n">
        <f aca="false">IF(O38&lt;&gt;"",O38,ROUND(N38*M38/(1+M38),0))</f>
        <v>19044</v>
      </c>
      <c r="Q38" s="16" t="n">
        <f aca="false">P38/J38</f>
        <v>0.28434915041658</v>
      </c>
      <c r="R38" s="2" t="str">
        <f aca="false">IF(P38&gt;J38,"Yes","No")</f>
        <v>No</v>
      </c>
      <c r="S38" s="2" t="str">
        <f aca="false">IF(P38*L38&gt;J38,"Yes","No")</f>
        <v>No</v>
      </c>
      <c r="T38" s="2" t="s">
        <v>171</v>
      </c>
    </row>
    <row r="39" customFormat="false" ht="15" hidden="false" customHeight="false" outlineLevel="0" collapsed="false">
      <c r="A39" s="2" t="n">
        <v>38</v>
      </c>
      <c r="B39" s="2" t="s">
        <v>70</v>
      </c>
      <c r="C39" s="2" t="s">
        <v>70</v>
      </c>
      <c r="D39" s="2" t="s">
        <v>70</v>
      </c>
      <c r="E39" s="2" t="s">
        <v>25</v>
      </c>
      <c r="F39" s="2" t="s">
        <v>18</v>
      </c>
      <c r="G39" s="9" t="n">
        <v>60087</v>
      </c>
      <c r="H39" s="9" t="n">
        <v>54591</v>
      </c>
      <c r="I39" s="9" t="n">
        <v>210692</v>
      </c>
      <c r="J39" s="10" t="n">
        <f aca="false">G39-H39</f>
        <v>5496</v>
      </c>
      <c r="K39" s="11" t="n">
        <f aca="false">J39/I39</f>
        <v>0.0260854707345319</v>
      </c>
      <c r="L39" s="11" t="n">
        <f aca="false">I39/N39</f>
        <v>0.562658562509013</v>
      </c>
      <c r="M39" s="4" t="n">
        <f aca="false">INDEX('Lok Sabha seats'!$E:$E,MATCH(D39,'Lok Sabha seats'!$A:$A,0))</f>
        <v>0.0552345815373857</v>
      </c>
      <c r="N39" s="9" t="n">
        <v>374458</v>
      </c>
      <c r="O39" s="15"/>
      <c r="P39" s="10" t="n">
        <f aca="false">IF(O39&lt;&gt;"",O39,ROUND(N39*M39/(1+M39),0))</f>
        <v>19600</v>
      </c>
      <c r="Q39" s="16" t="n">
        <f aca="false">P39/J39</f>
        <v>3.56622998544396</v>
      </c>
      <c r="R39" s="2" t="str">
        <f aca="false">IF(P39&gt;J39,"Yes","No")</f>
        <v>Yes</v>
      </c>
      <c r="S39" s="2" t="str">
        <f aca="false">IF(P39*L39&gt;J39,"Yes","No")</f>
        <v>Yes</v>
      </c>
      <c r="T39" s="2" t="s">
        <v>171</v>
      </c>
    </row>
    <row r="40" customFormat="false" ht="15" hidden="false" customHeight="false" outlineLevel="0" collapsed="false">
      <c r="A40" s="2" t="n">
        <v>39</v>
      </c>
      <c r="B40" s="2" t="s">
        <v>98</v>
      </c>
      <c r="C40" s="2" t="s">
        <v>70</v>
      </c>
      <c r="D40" s="2" t="s">
        <v>70</v>
      </c>
      <c r="E40" s="2" t="s">
        <v>17</v>
      </c>
      <c r="F40" s="2" t="s">
        <v>18</v>
      </c>
      <c r="G40" s="9" t="n">
        <v>99664</v>
      </c>
      <c r="H40" s="9" t="n">
        <v>92047</v>
      </c>
      <c r="I40" s="9" t="n">
        <v>202982</v>
      </c>
      <c r="J40" s="10" t="n">
        <f aca="false">G40-H40</f>
        <v>7617</v>
      </c>
      <c r="K40" s="11" t="n">
        <f aca="false">J40/I40</f>
        <v>0.0375254948714664</v>
      </c>
      <c r="L40" s="11" t="n">
        <f aca="false">I40/N40</f>
        <v>0.684605136680214</v>
      </c>
      <c r="M40" s="4" t="n">
        <f aca="false">INDEX('Lok Sabha seats'!$E:$E,MATCH(D40,'Lok Sabha seats'!$A:$A,0))</f>
        <v>0.0552345815373857</v>
      </c>
      <c r="N40" s="9" t="n">
        <v>296495</v>
      </c>
      <c r="O40" s="15"/>
      <c r="P40" s="10" t="n">
        <f aca="false">IF(O40&lt;&gt;"",O40,ROUND(N40*M40/(1+M40),0))</f>
        <v>15520</v>
      </c>
      <c r="Q40" s="16" t="n">
        <f aca="false">P40/J40</f>
        <v>2.03754759091506</v>
      </c>
      <c r="R40" s="2" t="str">
        <f aca="false">IF(P40&gt;J40,"Yes","No")</f>
        <v>Yes</v>
      </c>
      <c r="S40" s="2" t="str">
        <f aca="false">IF(P40*L40&gt;J40,"Yes","No")</f>
        <v>Yes</v>
      </c>
      <c r="T40" s="2" t="s">
        <v>171</v>
      </c>
    </row>
    <row r="41" customFormat="false" ht="15" hidden="false" customHeight="false" outlineLevel="0" collapsed="false">
      <c r="A41" s="2" t="n">
        <v>40</v>
      </c>
      <c r="B41" s="2" t="s">
        <v>201</v>
      </c>
      <c r="C41" s="2" t="s">
        <v>70</v>
      </c>
      <c r="D41" s="2" t="s">
        <v>70</v>
      </c>
      <c r="E41" s="2" t="s">
        <v>44</v>
      </c>
      <c r="F41" s="2" t="s">
        <v>22</v>
      </c>
      <c r="G41" s="9" t="n">
        <v>87749</v>
      </c>
      <c r="H41" s="9" t="n">
        <v>68040</v>
      </c>
      <c r="I41" s="9" t="n">
        <v>208529</v>
      </c>
      <c r="J41" s="10" t="n">
        <f aca="false">G41-H41</f>
        <v>19709</v>
      </c>
      <c r="K41" s="11" t="n">
        <f aca="false">J41/I41</f>
        <v>0.0945144320454229</v>
      </c>
      <c r="L41" s="11" t="n">
        <f aca="false">I41/N41</f>
        <v>0.676065424954206</v>
      </c>
      <c r="M41" s="4" t="n">
        <f aca="false">INDEX('Lok Sabha seats'!$E:$E,MATCH(D41,'Lok Sabha seats'!$A:$A,0))</f>
        <v>0.0552345815373857</v>
      </c>
      <c r="N41" s="9" t="n">
        <v>308445</v>
      </c>
      <c r="O41" s="15"/>
      <c r="P41" s="10" t="n">
        <f aca="false">IF(O41&lt;&gt;"",O41,ROUND(N41*M41/(1+M41),0))</f>
        <v>16145</v>
      </c>
      <c r="Q41" s="16" t="n">
        <f aca="false">P41/J41</f>
        <v>0.819168907605662</v>
      </c>
      <c r="R41" s="2" t="str">
        <f aca="false">IF(P41&gt;J41,"Yes","No")</f>
        <v>No</v>
      </c>
      <c r="S41" s="2" t="str">
        <f aca="false">IF(P41*L41&gt;J41,"Yes","No")</f>
        <v>No</v>
      </c>
      <c r="T41" s="2" t="s">
        <v>171</v>
      </c>
    </row>
    <row r="42" customFormat="false" ht="15" hidden="false" customHeight="false" outlineLevel="0" collapsed="false">
      <c r="A42" s="2" t="n">
        <v>41</v>
      </c>
      <c r="B42" s="2" t="s">
        <v>202</v>
      </c>
      <c r="C42" s="2" t="s">
        <v>70</v>
      </c>
      <c r="D42" s="2" t="s">
        <v>70</v>
      </c>
      <c r="E42" s="2" t="s">
        <v>17</v>
      </c>
      <c r="F42" s="2" t="s">
        <v>18</v>
      </c>
      <c r="G42" s="9" t="n">
        <v>145978</v>
      </c>
      <c r="H42" s="9" t="n">
        <v>39119</v>
      </c>
      <c r="I42" s="9" t="n">
        <v>222121</v>
      </c>
      <c r="J42" s="10" t="n">
        <f aca="false">G42-H42</f>
        <v>106859</v>
      </c>
      <c r="K42" s="11" t="n">
        <f aca="false">J42/I42</f>
        <v>0.48108463405081</v>
      </c>
      <c r="L42" s="11" t="n">
        <f aca="false">I42/N42</f>
        <v>0.735429379298014</v>
      </c>
      <c r="M42" s="4" t="n">
        <f aca="false">INDEX('Lok Sabha seats'!$E:$E,MATCH(D42,'Lok Sabha seats'!$A:$A,0))</f>
        <v>0.0552345815373857</v>
      </c>
      <c r="N42" s="9" t="n">
        <v>302029</v>
      </c>
      <c r="O42" s="15"/>
      <c r="P42" s="10" t="n">
        <f aca="false">IF(O42&lt;&gt;"",O42,ROUND(N42*M42/(1+M42),0))</f>
        <v>15809</v>
      </c>
      <c r="Q42" s="16" t="n">
        <f aca="false">P42/J42</f>
        <v>0.147942615970578</v>
      </c>
      <c r="R42" s="2" t="str">
        <f aca="false">IF(P42&gt;J42,"Yes","No")</f>
        <v>No</v>
      </c>
      <c r="S42" s="2" t="str">
        <f aca="false">IF(P42*L42&gt;J42,"Yes","No")</f>
        <v>No</v>
      </c>
      <c r="T42" s="2" t="s">
        <v>171</v>
      </c>
    </row>
    <row r="43" customFormat="false" ht="15" hidden="false" customHeight="false" outlineLevel="0" collapsed="false">
      <c r="A43" s="2" t="n">
        <v>42</v>
      </c>
      <c r="B43" s="2" t="s">
        <v>120</v>
      </c>
      <c r="C43" s="2" t="s">
        <v>70</v>
      </c>
      <c r="D43" s="2" t="s">
        <v>70</v>
      </c>
      <c r="E43" s="2" t="s">
        <v>17</v>
      </c>
      <c r="F43" s="2" t="s">
        <v>18</v>
      </c>
      <c r="G43" s="9" t="n">
        <v>78201</v>
      </c>
      <c r="H43" s="9" t="n">
        <v>66070</v>
      </c>
      <c r="I43" s="9" t="n">
        <v>212676</v>
      </c>
      <c r="J43" s="10" t="n">
        <f aca="false">G43-H43</f>
        <v>12131</v>
      </c>
      <c r="K43" s="11" t="n">
        <f aca="false">J43/I43</f>
        <v>0.0570398164343885</v>
      </c>
      <c r="L43" s="11" t="n">
        <f aca="false">I43/N43</f>
        <v>0.727741829517419</v>
      </c>
      <c r="M43" s="4" t="n">
        <f aca="false">INDEX('Lok Sabha seats'!$E:$E,MATCH(D43,'Lok Sabha seats'!$A:$A,0))</f>
        <v>0.0552345815373857</v>
      </c>
      <c r="N43" s="9" t="n">
        <v>292241</v>
      </c>
      <c r="O43" s="15"/>
      <c r="P43" s="10" t="n">
        <f aca="false">IF(O43&lt;&gt;"",O43,ROUND(N43*M43/(1+M43),0))</f>
        <v>15297</v>
      </c>
      <c r="Q43" s="16" t="n">
        <f aca="false">P43/J43</f>
        <v>1.26098425521391</v>
      </c>
      <c r="R43" s="2" t="str">
        <f aca="false">IF(P43&gt;J43,"Yes","No")</f>
        <v>Yes</v>
      </c>
      <c r="S43" s="2" t="str">
        <f aca="false">IF(P43*L43&gt;J43,"Yes","No")</f>
        <v>No</v>
      </c>
      <c r="T43" s="2" t="s">
        <v>171</v>
      </c>
    </row>
    <row r="44" customFormat="false" ht="15" hidden="false" customHeight="false" outlineLevel="0" collapsed="false">
      <c r="A44" s="2" t="n">
        <v>43</v>
      </c>
      <c r="B44" s="2" t="s">
        <v>203</v>
      </c>
      <c r="C44" s="2" t="s">
        <v>70</v>
      </c>
      <c r="D44" s="2" t="s">
        <v>117</v>
      </c>
      <c r="E44" s="2" t="s">
        <v>17</v>
      </c>
      <c r="F44" s="2" t="s">
        <v>18</v>
      </c>
      <c r="G44" s="9" t="n">
        <v>99683</v>
      </c>
      <c r="H44" s="9" t="n">
        <v>34695</v>
      </c>
      <c r="I44" s="9" t="n">
        <v>210080</v>
      </c>
      <c r="J44" s="10" t="n">
        <f aca="false">G44-H44</f>
        <v>64988</v>
      </c>
      <c r="K44" s="11" t="n">
        <f aca="false">J44/I44</f>
        <v>0.309348819497334</v>
      </c>
      <c r="L44" s="11" t="n">
        <f aca="false">I44/N44</f>
        <v>0.721654088331175</v>
      </c>
      <c r="M44" s="4" t="n">
        <f aca="false">INDEX('Lok Sabha seats'!$E:$E,MATCH(D44,'Lok Sabha seats'!$A:$A,0))</f>
        <v>0.034775973676751</v>
      </c>
      <c r="N44" s="9" t="n">
        <v>291109</v>
      </c>
      <c r="O44" s="15"/>
      <c r="P44" s="10" t="n">
        <f aca="false">IF(O44&lt;&gt;"",O44,ROUND(N44*M44/(1+M44),0))</f>
        <v>9783</v>
      </c>
      <c r="Q44" s="16" t="n">
        <f aca="false">P44/J44</f>
        <v>0.150535483473872</v>
      </c>
      <c r="R44" s="2" t="str">
        <f aca="false">IF(P44&gt;J44,"Yes","No")</f>
        <v>No</v>
      </c>
      <c r="S44" s="2" t="str">
        <f aca="false">IF(P44*L44&gt;J44,"Yes","No")</f>
        <v>No</v>
      </c>
      <c r="T44" s="2" t="s">
        <v>171</v>
      </c>
    </row>
    <row r="45" customFormat="false" ht="15" hidden="false" customHeight="false" outlineLevel="0" collapsed="false">
      <c r="A45" s="2" t="n">
        <v>44</v>
      </c>
      <c r="B45" s="2" t="s">
        <v>204</v>
      </c>
      <c r="C45" s="2" t="s">
        <v>117</v>
      </c>
      <c r="D45" s="2" t="s">
        <v>117</v>
      </c>
      <c r="E45" s="2" t="s">
        <v>17</v>
      </c>
      <c r="F45" s="2" t="s">
        <v>18</v>
      </c>
      <c r="G45" s="9" t="n">
        <v>101397</v>
      </c>
      <c r="H45" s="9" t="n">
        <v>61823</v>
      </c>
      <c r="I45" s="9" t="n">
        <v>192623</v>
      </c>
      <c r="J45" s="10" t="n">
        <f aca="false">G45-H45</f>
        <v>39574</v>
      </c>
      <c r="K45" s="11" t="n">
        <f aca="false">J45/I45</f>
        <v>0.205447947545205</v>
      </c>
      <c r="L45" s="11" t="n">
        <f aca="false">I45/N45</f>
        <v>0.725729033230352</v>
      </c>
      <c r="M45" s="4" t="n">
        <f aca="false">INDEX('Lok Sabha seats'!$E:$E,MATCH(D45,'Lok Sabha seats'!$A:$A,0))</f>
        <v>0.034775973676751</v>
      </c>
      <c r="N45" s="9" t="n">
        <v>265420</v>
      </c>
      <c r="O45" s="15"/>
      <c r="P45" s="10" t="n">
        <f aca="false">IF(O45&lt;&gt;"",O45,ROUND(N45*M45/(1+M45),0))</f>
        <v>8920</v>
      </c>
      <c r="Q45" s="16" t="n">
        <f aca="false">P45/J45</f>
        <v>0.225400515489968</v>
      </c>
      <c r="R45" s="2" t="str">
        <f aca="false">IF(P45&gt;J45,"Yes","No")</f>
        <v>No</v>
      </c>
      <c r="S45" s="2" t="str">
        <f aca="false">IF(P45*L45&gt;J45,"Yes","No")</f>
        <v>No</v>
      </c>
      <c r="T45" s="2" t="s">
        <v>171</v>
      </c>
    </row>
    <row r="46" customFormat="false" ht="15" hidden="false" customHeight="false" outlineLevel="0" collapsed="false">
      <c r="A46" s="2" t="n">
        <v>45</v>
      </c>
      <c r="B46" s="2" t="s">
        <v>205</v>
      </c>
      <c r="C46" s="2" t="s">
        <v>117</v>
      </c>
      <c r="D46" s="2" t="s">
        <v>117</v>
      </c>
      <c r="E46" s="2" t="s">
        <v>17</v>
      </c>
      <c r="F46" s="2" t="s">
        <v>18</v>
      </c>
      <c r="G46" s="9" t="n">
        <v>90319</v>
      </c>
      <c r="H46" s="9" t="n">
        <v>81011</v>
      </c>
      <c r="I46" s="9" t="n">
        <v>190909</v>
      </c>
      <c r="J46" s="10" t="n">
        <f aca="false">G46-H46</f>
        <v>9308</v>
      </c>
      <c r="K46" s="11" t="n">
        <f aca="false">J46/I46</f>
        <v>0.0487562136934351</v>
      </c>
      <c r="L46" s="11" t="n">
        <f aca="false">I46/N46</f>
        <v>0.695205529336363</v>
      </c>
      <c r="M46" s="4" t="n">
        <f aca="false">INDEX('Lok Sabha seats'!$E:$E,MATCH(D46,'Lok Sabha seats'!$A:$A,0))</f>
        <v>0.034775973676751</v>
      </c>
      <c r="N46" s="9" t="n">
        <v>274608</v>
      </c>
      <c r="O46" s="15"/>
      <c r="P46" s="10" t="n">
        <f aca="false">IF(O46&lt;&gt;"",O46,ROUND(N46*M46/(1+M46),0))</f>
        <v>9229</v>
      </c>
      <c r="Q46" s="16" t="n">
        <f aca="false">P46/J46</f>
        <v>0.991512677266867</v>
      </c>
      <c r="R46" s="2" t="str">
        <f aca="false">IF(P46&gt;J46,"Yes","No")</f>
        <v>No</v>
      </c>
      <c r="S46" s="2" t="str">
        <f aca="false">IF(P46*L46&gt;J46,"Yes","No")</f>
        <v>No</v>
      </c>
      <c r="T46" s="2" t="s">
        <v>171</v>
      </c>
    </row>
    <row r="47" customFormat="false" ht="15" hidden="false" customHeight="false" outlineLevel="0" collapsed="false">
      <c r="A47" s="2" t="n">
        <v>46</v>
      </c>
      <c r="B47" s="2" t="s">
        <v>206</v>
      </c>
      <c r="C47" s="2" t="s">
        <v>117</v>
      </c>
      <c r="D47" s="2" t="s">
        <v>117</v>
      </c>
      <c r="E47" s="2" t="s">
        <v>17</v>
      </c>
      <c r="F47" s="2" t="s">
        <v>18</v>
      </c>
      <c r="G47" s="9" t="n">
        <v>114578</v>
      </c>
      <c r="H47" s="9" t="n">
        <v>84484</v>
      </c>
      <c r="I47" s="9" t="n">
        <v>213208</v>
      </c>
      <c r="J47" s="10" t="n">
        <f aca="false">G47-H47</f>
        <v>30094</v>
      </c>
      <c r="K47" s="11" t="n">
        <f aca="false">J47/I47</f>
        <v>0.141148549772992</v>
      </c>
      <c r="L47" s="11" t="n">
        <f aca="false">I47/N47</f>
        <v>0.716552342991191</v>
      </c>
      <c r="M47" s="4" t="n">
        <f aca="false">INDEX('Lok Sabha seats'!$E:$E,MATCH(D47,'Lok Sabha seats'!$A:$A,0))</f>
        <v>0.034775973676751</v>
      </c>
      <c r="N47" s="9" t="n">
        <v>297547</v>
      </c>
      <c r="O47" s="15"/>
      <c r="P47" s="10" t="n">
        <f aca="false">IF(O47&lt;&gt;"",O47,ROUND(N47*M47/(1+M47),0))</f>
        <v>10000</v>
      </c>
      <c r="Q47" s="16" t="n">
        <f aca="false">P47/J47</f>
        <v>0.332292151259387</v>
      </c>
      <c r="R47" s="2" t="str">
        <f aca="false">IF(P47&gt;J47,"Yes","No")</f>
        <v>No</v>
      </c>
      <c r="S47" s="2" t="str">
        <f aca="false">IF(P47*L47&gt;J47,"Yes","No")</f>
        <v>No</v>
      </c>
      <c r="T47" s="2" t="s">
        <v>171</v>
      </c>
    </row>
    <row r="48" customFormat="false" ht="15" hidden="false" customHeight="false" outlineLevel="0" collapsed="false">
      <c r="A48" s="2" t="n">
        <v>47</v>
      </c>
      <c r="B48" s="2" t="s">
        <v>117</v>
      </c>
      <c r="C48" s="2" t="s">
        <v>117</v>
      </c>
      <c r="D48" s="2" t="s">
        <v>117</v>
      </c>
      <c r="E48" s="2" t="s">
        <v>17</v>
      </c>
      <c r="F48" s="2" t="s">
        <v>18</v>
      </c>
      <c r="G48" s="9" t="n">
        <v>92067</v>
      </c>
      <c r="H48" s="9" t="n">
        <v>84597</v>
      </c>
      <c r="I48" s="9" t="n">
        <v>197357</v>
      </c>
      <c r="J48" s="10" t="n">
        <f aca="false">G48-H48</f>
        <v>7470</v>
      </c>
      <c r="K48" s="11" t="n">
        <f aca="false">J48/I48</f>
        <v>0.0378501902643433</v>
      </c>
      <c r="L48" s="11" t="n">
        <f aca="false">I48/N48</f>
        <v>0.669571943776272</v>
      </c>
      <c r="M48" s="4" t="n">
        <f aca="false">INDEX('Lok Sabha seats'!$E:$E,MATCH(D48,'Lok Sabha seats'!$A:$A,0))</f>
        <v>0.034775973676751</v>
      </c>
      <c r="N48" s="9" t="n">
        <v>294751</v>
      </c>
      <c r="O48" s="15"/>
      <c r="P48" s="10" t="n">
        <f aca="false">IF(O48&lt;&gt;"",O48,ROUND(N48*M48/(1+M48),0))</f>
        <v>9906</v>
      </c>
      <c r="Q48" s="16" t="n">
        <f aca="false">P48/J48</f>
        <v>1.32610441767068</v>
      </c>
      <c r="R48" s="2" t="str">
        <f aca="false">IF(P48&gt;J48,"Yes","No")</f>
        <v>Yes</v>
      </c>
      <c r="S48" s="2" t="str">
        <f aca="false">IF(P48*L48&gt;J48,"Yes","No")</f>
        <v>No</v>
      </c>
      <c r="T48" s="2" t="s">
        <v>171</v>
      </c>
    </row>
    <row r="49" customFormat="false" ht="15" hidden="false" customHeight="false" outlineLevel="0" collapsed="false">
      <c r="A49" s="2" t="n">
        <v>48</v>
      </c>
      <c r="B49" s="2" t="s">
        <v>207</v>
      </c>
      <c r="C49" s="2" t="s">
        <v>60</v>
      </c>
      <c r="D49" s="2" t="s">
        <v>133</v>
      </c>
      <c r="E49" s="2" t="s">
        <v>17</v>
      </c>
      <c r="F49" s="2" t="s">
        <v>18</v>
      </c>
      <c r="G49" s="9" t="n">
        <v>104338</v>
      </c>
      <c r="H49" s="9" t="n">
        <v>65522</v>
      </c>
      <c r="I49" s="9" t="n">
        <v>198966</v>
      </c>
      <c r="J49" s="10" t="n">
        <f aca="false">G49-H49</f>
        <v>38816</v>
      </c>
      <c r="K49" s="11" t="n">
        <f aca="false">J49/I49</f>
        <v>0.195088608103897</v>
      </c>
      <c r="L49" s="11" t="n">
        <f aca="false">I49/N49</f>
        <v>0.707140496220239</v>
      </c>
      <c r="M49" s="4" t="n">
        <f aca="false">INDEX('Lok Sabha seats'!$E:$E,MATCH(D49,'Lok Sabha seats'!$A:$A,0))</f>
        <v>0.0458243557490295</v>
      </c>
      <c r="N49" s="9" t="n">
        <v>281367</v>
      </c>
      <c r="O49" s="15"/>
      <c r="P49" s="10" t="n">
        <f aca="false">IF(O49&lt;&gt;"",O49,ROUND(N49*M49/(1+M49),0))</f>
        <v>12329</v>
      </c>
      <c r="Q49" s="16" t="n">
        <f aca="false">P49/J49</f>
        <v>0.317626751854905</v>
      </c>
      <c r="R49" s="2" t="str">
        <f aca="false">IF(P49&gt;J49,"Yes","No")</f>
        <v>No</v>
      </c>
      <c r="S49" s="2" t="str">
        <f aca="false">IF(P49*L49&gt;J49,"Yes","No")</f>
        <v>No</v>
      </c>
      <c r="T49" s="2" t="s">
        <v>171</v>
      </c>
    </row>
    <row r="50" customFormat="false" ht="15" hidden="false" customHeight="false" outlineLevel="0" collapsed="false">
      <c r="A50" s="2" t="n">
        <v>49</v>
      </c>
      <c r="B50" s="2" t="s">
        <v>208</v>
      </c>
      <c r="C50" s="2" t="s">
        <v>60</v>
      </c>
      <c r="D50" s="2" t="s">
        <v>133</v>
      </c>
      <c r="E50" s="2" t="s">
        <v>17</v>
      </c>
      <c r="F50" s="2" t="s">
        <v>18</v>
      </c>
      <c r="G50" s="9" t="n">
        <v>119725</v>
      </c>
      <c r="H50" s="9" t="n">
        <v>93324</v>
      </c>
      <c r="I50" s="9" t="n">
        <v>223368</v>
      </c>
      <c r="J50" s="10" t="n">
        <f aca="false">G50-H50</f>
        <v>26401</v>
      </c>
      <c r="K50" s="11" t="n">
        <f aca="false">J50/I50</f>
        <v>0.118195086135883</v>
      </c>
      <c r="L50" s="11" t="n">
        <f aca="false">I50/N50</f>
        <v>0.694083904827899</v>
      </c>
      <c r="M50" s="4" t="n">
        <f aca="false">INDEX('Lok Sabha seats'!$E:$E,MATCH(D50,'Lok Sabha seats'!$A:$A,0))</f>
        <v>0.0458243557490295</v>
      </c>
      <c r="N50" s="9" t="n">
        <v>321817</v>
      </c>
      <c r="O50" s="15"/>
      <c r="P50" s="10" t="n">
        <f aca="false">IF(O50&lt;&gt;"",O50,ROUND(N50*M50/(1+M50),0))</f>
        <v>14101</v>
      </c>
      <c r="Q50" s="16" t="n">
        <f aca="false">P50/J50</f>
        <v>0.534108556494072</v>
      </c>
      <c r="R50" s="2" t="str">
        <f aca="false">IF(P50&gt;J50,"Yes","No")</f>
        <v>No</v>
      </c>
      <c r="S50" s="2" t="str">
        <f aca="false">IF(P50*L50&gt;J50,"Yes","No")</f>
        <v>No</v>
      </c>
      <c r="T50" s="2" t="s">
        <v>171</v>
      </c>
    </row>
    <row r="51" customFormat="false" ht="15" hidden="false" customHeight="false" outlineLevel="0" collapsed="false">
      <c r="A51" s="2" t="n">
        <v>50</v>
      </c>
      <c r="B51" s="2" t="s">
        <v>209</v>
      </c>
      <c r="C51" s="2" t="s">
        <v>60</v>
      </c>
      <c r="D51" s="2" t="s">
        <v>133</v>
      </c>
      <c r="E51" s="2" t="s">
        <v>17</v>
      </c>
      <c r="F51" s="2" t="s">
        <v>18</v>
      </c>
      <c r="G51" s="9" t="n">
        <v>160206</v>
      </c>
      <c r="H51" s="9" t="n">
        <v>81275</v>
      </c>
      <c r="I51" s="9" t="n">
        <v>271536</v>
      </c>
      <c r="J51" s="10" t="n">
        <f aca="false">G51-H51</f>
        <v>78931</v>
      </c>
      <c r="K51" s="11" t="n">
        <f aca="false">J51/I51</f>
        <v>0.290683371633964</v>
      </c>
      <c r="L51" s="11" t="n">
        <f aca="false">I51/N51</f>
        <v>0.603224323045446</v>
      </c>
      <c r="M51" s="4" t="n">
        <f aca="false">INDEX('Lok Sabha seats'!$E:$E,MATCH(D51,'Lok Sabha seats'!$A:$A,0))</f>
        <v>0.0458243557490295</v>
      </c>
      <c r="N51" s="9" t="n">
        <v>450141</v>
      </c>
      <c r="O51" s="15"/>
      <c r="P51" s="10" t="n">
        <f aca="false">IF(O51&lt;&gt;"",O51,ROUND(N51*M51/(1+M51),0))</f>
        <v>19724</v>
      </c>
      <c r="Q51" s="16" t="n">
        <f aca="false">P51/J51</f>
        <v>0.249889143682457</v>
      </c>
      <c r="R51" s="2" t="str">
        <f aca="false">IF(P51&gt;J51,"Yes","No")</f>
        <v>No</v>
      </c>
      <c r="S51" s="2" t="str">
        <f aca="false">IF(P51*L51&gt;J51,"Yes","No")</f>
        <v>No</v>
      </c>
      <c r="T51" s="2" t="s">
        <v>171</v>
      </c>
    </row>
    <row r="52" customFormat="false" ht="15" hidden="false" customHeight="false" outlineLevel="0" collapsed="false">
      <c r="A52" s="2" t="n">
        <v>51</v>
      </c>
      <c r="B52" s="2" t="s">
        <v>132</v>
      </c>
      <c r="C52" s="2" t="s">
        <v>60</v>
      </c>
      <c r="D52" s="2" t="s">
        <v>133</v>
      </c>
      <c r="E52" s="2" t="s">
        <v>21</v>
      </c>
      <c r="F52" s="2" t="s">
        <v>22</v>
      </c>
      <c r="G52" s="9" t="n">
        <v>85372</v>
      </c>
      <c r="H52" s="9" t="n">
        <v>72547</v>
      </c>
      <c r="I52" s="9" t="n">
        <v>215913</v>
      </c>
      <c r="J52" s="10" t="n">
        <f aca="false">G52-H52</f>
        <v>12825</v>
      </c>
      <c r="K52" s="11" t="n">
        <f aca="false">J52/I52</f>
        <v>0.0593989245668394</v>
      </c>
      <c r="L52" s="11" t="n">
        <f aca="false">I52/N52</f>
        <v>0.71742142565217</v>
      </c>
      <c r="M52" s="4" t="n">
        <f aca="false">INDEX('Lok Sabha seats'!$E:$E,MATCH(D52,'Lok Sabha seats'!$A:$A,0))</f>
        <v>0.0458243557490295</v>
      </c>
      <c r="N52" s="9" t="n">
        <v>300957</v>
      </c>
      <c r="O52" s="15"/>
      <c r="P52" s="10" t="n">
        <f aca="false">IF(O52&lt;&gt;"",O52,ROUND(N52*M52/(1+M52),0))</f>
        <v>13187</v>
      </c>
      <c r="Q52" s="16" t="n">
        <f aca="false">P52/J52</f>
        <v>1.0282261208577</v>
      </c>
      <c r="R52" s="2" t="str">
        <f aca="false">IF(P52&gt;J52,"Yes","No")</f>
        <v>Yes</v>
      </c>
      <c r="S52" s="2" t="str">
        <f aca="false">IF(P52*L52&gt;J52,"Yes","No")</f>
        <v>No</v>
      </c>
      <c r="T52" s="2" t="s">
        <v>171</v>
      </c>
    </row>
    <row r="53" customFormat="false" ht="15" hidden="false" customHeight="false" outlineLevel="0" collapsed="false">
      <c r="A53" s="2" t="n">
        <v>52</v>
      </c>
      <c r="B53" s="2" t="s">
        <v>210</v>
      </c>
      <c r="C53" s="2" t="s">
        <v>60</v>
      </c>
      <c r="D53" s="2" t="s">
        <v>60</v>
      </c>
      <c r="E53" s="2" t="s">
        <v>17</v>
      </c>
      <c r="F53" s="2" t="s">
        <v>18</v>
      </c>
      <c r="G53" s="9" t="n">
        <v>129401</v>
      </c>
      <c r="H53" s="9" t="n">
        <v>89691</v>
      </c>
      <c r="I53" s="9" t="n">
        <v>227498</v>
      </c>
      <c r="J53" s="10" t="n">
        <f aca="false">G53-H53</f>
        <v>39710</v>
      </c>
      <c r="K53" s="11" t="n">
        <f aca="false">J53/I53</f>
        <v>0.174550985063605</v>
      </c>
      <c r="L53" s="11" t="n">
        <f aca="false">I53/N53</f>
        <v>0.553198732616641</v>
      </c>
      <c r="M53" s="4" t="n">
        <f aca="false">INDEX('Lok Sabha seats'!$E:$E,MATCH(D53,'Lok Sabha seats'!$A:$A,0))</f>
        <v>0.0718456191547537</v>
      </c>
      <c r="N53" s="9" t="n">
        <v>411241</v>
      </c>
      <c r="O53" s="9" t="n">
        <v>34833</v>
      </c>
      <c r="P53" s="10" t="n">
        <f aca="false">IF(O53&lt;&gt;"",O53,ROUND(N53*M53/(1+M53),0))</f>
        <v>34833</v>
      </c>
      <c r="Q53" s="16" t="n">
        <f aca="false">P53/J53</f>
        <v>0.877184588264921</v>
      </c>
      <c r="R53" s="2" t="str">
        <f aca="false">IF(P53&gt;J53,"Yes","No")</f>
        <v>No</v>
      </c>
      <c r="S53" s="2" t="str">
        <f aca="false">IF(P53*L53&gt;J53,"Yes","No")</f>
        <v>No</v>
      </c>
      <c r="T53" s="2" t="s">
        <v>171</v>
      </c>
    </row>
    <row r="54" customFormat="false" ht="15" hidden="false" customHeight="false" outlineLevel="0" collapsed="false">
      <c r="A54" s="2" t="n">
        <v>53</v>
      </c>
      <c r="B54" s="2" t="s">
        <v>104</v>
      </c>
      <c r="C54" s="2" t="s">
        <v>60</v>
      </c>
      <c r="D54" s="2" t="s">
        <v>60</v>
      </c>
      <c r="E54" s="2" t="s">
        <v>17</v>
      </c>
      <c r="F54" s="2" t="s">
        <v>18</v>
      </c>
      <c r="G54" s="9" t="n">
        <v>117526</v>
      </c>
      <c r="H54" s="9" t="n">
        <v>101868</v>
      </c>
      <c r="I54" s="9" t="n">
        <v>228294</v>
      </c>
      <c r="J54" s="10" t="n">
        <f aca="false">G54-H54</f>
        <v>15658</v>
      </c>
      <c r="K54" s="11" t="n">
        <f aca="false">J54/I54</f>
        <v>0.068586997468177</v>
      </c>
      <c r="L54" s="11" t="n">
        <f aca="false">I54/N54</f>
        <v>0.578802053622362</v>
      </c>
      <c r="M54" s="4" t="n">
        <f aca="false">INDEX('Lok Sabha seats'!$E:$E,MATCH(D54,'Lok Sabha seats'!$A:$A,0))</f>
        <v>0.0718456191547537</v>
      </c>
      <c r="N54" s="9" t="n">
        <v>394425</v>
      </c>
      <c r="O54" s="15"/>
      <c r="P54" s="10" t="n">
        <f aca="false">IF(O54&lt;&gt;"",O54,ROUND(N54*M54/(1+M54),0))</f>
        <v>26438</v>
      </c>
      <c r="Q54" s="16" t="n">
        <f aca="false">P54/J54</f>
        <v>1.68846595989271</v>
      </c>
      <c r="R54" s="2" t="str">
        <f aca="false">IF(P54&gt;J54,"Yes","No")</f>
        <v>Yes</v>
      </c>
      <c r="S54" s="2" t="str">
        <f aca="false">IF(P54*L54&gt;J54,"Yes","No")</f>
        <v>No</v>
      </c>
      <c r="T54" s="2" t="s">
        <v>171</v>
      </c>
    </row>
    <row r="55" customFormat="false" ht="15" hidden="false" customHeight="false" outlineLevel="0" collapsed="false">
      <c r="A55" s="2" t="n">
        <v>54</v>
      </c>
      <c r="B55" s="2" t="s">
        <v>211</v>
      </c>
      <c r="C55" s="2" t="s">
        <v>60</v>
      </c>
      <c r="D55" s="2" t="s">
        <v>60</v>
      </c>
      <c r="E55" s="2" t="s">
        <v>17</v>
      </c>
      <c r="F55" s="2" t="s">
        <v>18</v>
      </c>
      <c r="G55" s="9" t="n">
        <v>163390</v>
      </c>
      <c r="H55" s="9" t="n">
        <v>48102</v>
      </c>
      <c r="I55" s="9" t="n">
        <v>250483</v>
      </c>
      <c r="J55" s="10" t="n">
        <f aca="false">G55-H55</f>
        <v>115288</v>
      </c>
      <c r="K55" s="11" t="n">
        <f aca="false">J55/I55</f>
        <v>0.46026277232387</v>
      </c>
      <c r="L55" s="11" t="n">
        <f aca="false">I55/N55</f>
        <v>0.597838565471943</v>
      </c>
      <c r="M55" s="4" t="n">
        <f aca="false">INDEX('Lok Sabha seats'!$E:$E,MATCH(D55,'Lok Sabha seats'!$A:$A,0))</f>
        <v>0.0718456191547537</v>
      </c>
      <c r="N55" s="9" t="n">
        <v>418981</v>
      </c>
      <c r="O55" s="15"/>
      <c r="P55" s="10" t="n">
        <f aca="false">IF(O55&lt;&gt;"",O55,ROUND(N55*M55/(1+M55),0))</f>
        <v>28084</v>
      </c>
      <c r="Q55" s="16" t="n">
        <f aca="false">P55/J55</f>
        <v>0.243598639927833</v>
      </c>
      <c r="R55" s="2" t="str">
        <f aca="false">IF(P55&gt;J55,"Yes","No")</f>
        <v>No</v>
      </c>
      <c r="S55" s="2" t="str">
        <f aca="false">IF(P55*L55&gt;J55,"Yes","No")</f>
        <v>No</v>
      </c>
      <c r="T55" s="2" t="s">
        <v>171</v>
      </c>
    </row>
    <row r="56" customFormat="false" ht="15" hidden="false" customHeight="false" outlineLevel="0" collapsed="false">
      <c r="A56" s="2" t="n">
        <v>55</v>
      </c>
      <c r="B56" s="2" t="s">
        <v>90</v>
      </c>
      <c r="C56" s="2" t="s">
        <v>60</v>
      </c>
      <c r="D56" s="2" t="s">
        <v>60</v>
      </c>
      <c r="E56" s="2" t="s">
        <v>17</v>
      </c>
      <c r="F56" s="2" t="s">
        <v>18</v>
      </c>
      <c r="G56" s="9" t="n">
        <v>90560</v>
      </c>
      <c r="H56" s="9" t="n">
        <v>78928</v>
      </c>
      <c r="I56" s="9" t="n">
        <v>196187</v>
      </c>
      <c r="J56" s="10" t="n">
        <f aca="false">G56-H56</f>
        <v>11632</v>
      </c>
      <c r="K56" s="11" t="n">
        <f aca="false">J56/I56</f>
        <v>0.0592903709216207</v>
      </c>
      <c r="L56" s="11" t="n">
        <f aca="false">I56/N56</f>
        <v>0.57504345353769</v>
      </c>
      <c r="M56" s="4" t="n">
        <f aca="false">INDEX('Lok Sabha seats'!$E:$E,MATCH(D56,'Lok Sabha seats'!$A:$A,0))</f>
        <v>0.0718456191547537</v>
      </c>
      <c r="N56" s="9" t="n">
        <v>341169</v>
      </c>
      <c r="O56" s="9" t="n">
        <v>25320</v>
      </c>
      <c r="P56" s="10" t="n">
        <f aca="false">IF(O56&lt;&gt;"",O56,ROUND(N56*M56/(1+M56),0))</f>
        <v>25320</v>
      </c>
      <c r="Q56" s="16" t="n">
        <f aca="false">P56/J56</f>
        <v>2.1767537826685</v>
      </c>
      <c r="R56" s="2" t="str">
        <f aca="false">IF(P56&gt;J56,"Yes","No")</f>
        <v>Yes</v>
      </c>
      <c r="S56" s="2" t="str">
        <f aca="false">IF(P56*L56&gt;J56,"Yes","No")</f>
        <v>Yes</v>
      </c>
      <c r="T56" s="2" t="s">
        <v>171</v>
      </c>
    </row>
    <row r="57" customFormat="false" ht="15" hidden="false" customHeight="false" outlineLevel="0" collapsed="false">
      <c r="A57" s="2" t="n">
        <v>56</v>
      </c>
      <c r="B57" s="2" t="s">
        <v>59</v>
      </c>
      <c r="C57" s="2" t="s">
        <v>60</v>
      </c>
      <c r="D57" s="2" t="s">
        <v>60</v>
      </c>
      <c r="E57" s="2" t="s">
        <v>21</v>
      </c>
      <c r="F57" s="2" t="s">
        <v>22</v>
      </c>
      <c r="G57" s="9" t="n">
        <v>104144</v>
      </c>
      <c r="H57" s="9" t="n">
        <v>98320</v>
      </c>
      <c r="I57" s="9" t="n">
        <v>219482</v>
      </c>
      <c r="J57" s="10" t="n">
        <f aca="false">G57-H57</f>
        <v>5824</v>
      </c>
      <c r="K57" s="11" t="n">
        <f aca="false">J57/I57</f>
        <v>0.0265352056205065</v>
      </c>
      <c r="L57" s="11" t="n">
        <f aca="false">I57/N57</f>
        <v>0.565161077679328</v>
      </c>
      <c r="M57" s="4" t="n">
        <f aca="false">INDEX('Lok Sabha seats'!$E:$E,MATCH(D57,'Lok Sabha seats'!$A:$A,0))</f>
        <v>0.0718456191547537</v>
      </c>
      <c r="N57" s="9" t="n">
        <v>388353</v>
      </c>
      <c r="O57" s="15"/>
      <c r="P57" s="10" t="n">
        <f aca="false">IF(O57&lt;&gt;"",O57,ROUND(N57*M57/(1+M57),0))</f>
        <v>26031</v>
      </c>
      <c r="Q57" s="16" t="n">
        <f aca="false">P57/J57</f>
        <v>4.46960851648352</v>
      </c>
      <c r="R57" s="2" t="str">
        <f aca="false">IF(P57&gt;J57,"Yes","No")</f>
        <v>Yes</v>
      </c>
      <c r="S57" s="2" t="str">
        <f aca="false">IF(P57*L57&gt;J57,"Yes","No")</f>
        <v>Yes</v>
      </c>
      <c r="T57" s="2" t="s">
        <v>171</v>
      </c>
    </row>
    <row r="58" customFormat="false" ht="15" hidden="false" customHeight="false" outlineLevel="0" collapsed="false">
      <c r="A58" s="2" t="n">
        <v>57</v>
      </c>
      <c r="B58" s="2" t="s">
        <v>134</v>
      </c>
      <c r="C58" s="2" t="s">
        <v>60</v>
      </c>
      <c r="D58" s="2" t="s">
        <v>60</v>
      </c>
      <c r="E58" s="2" t="s">
        <v>21</v>
      </c>
      <c r="F58" s="2" t="s">
        <v>22</v>
      </c>
      <c r="G58" s="9" t="n">
        <v>127877</v>
      </c>
      <c r="H58" s="9" t="n">
        <v>99410</v>
      </c>
      <c r="I58" s="9" t="n">
        <v>250641</v>
      </c>
      <c r="J58" s="10" t="n">
        <f aca="false">G58-H58</f>
        <v>28467</v>
      </c>
      <c r="K58" s="11" t="n">
        <f aca="false">J58/I58</f>
        <v>0.113576789112715</v>
      </c>
      <c r="L58" s="11" t="n">
        <f aca="false">I58/N58</f>
        <v>0.58445592230293</v>
      </c>
      <c r="M58" s="4" t="n">
        <f aca="false">INDEX('Lok Sabha seats'!$E:$E,MATCH(D58,'Lok Sabha seats'!$A:$A,0))</f>
        <v>0.0718456191547537</v>
      </c>
      <c r="N58" s="9" t="n">
        <v>428845</v>
      </c>
      <c r="O58" s="15"/>
      <c r="P58" s="10" t="n">
        <f aca="false">IF(O58&lt;&gt;"",O58,ROUND(N58*M58/(1+M58),0))</f>
        <v>28745</v>
      </c>
      <c r="Q58" s="16" t="n">
        <f aca="false">P58/J58</f>
        <v>1.00976569361015</v>
      </c>
      <c r="R58" s="2" t="str">
        <f aca="false">IF(P58&gt;J58,"Yes","No")</f>
        <v>Yes</v>
      </c>
      <c r="S58" s="2" t="str">
        <f aca="false">IF(P58*L58&gt;J58,"Yes","No")</f>
        <v>No</v>
      </c>
      <c r="T58" s="2" t="s">
        <v>171</v>
      </c>
    </row>
    <row r="59" customFormat="false" ht="15" hidden="false" customHeight="false" outlineLevel="0" collapsed="false">
      <c r="A59" s="2" t="n">
        <v>58</v>
      </c>
      <c r="B59" s="2" t="s">
        <v>212</v>
      </c>
      <c r="C59" s="2" t="s">
        <v>60</v>
      </c>
      <c r="D59" s="2" t="s">
        <v>133</v>
      </c>
      <c r="E59" s="2" t="s">
        <v>17</v>
      </c>
      <c r="F59" s="2" t="s">
        <v>18</v>
      </c>
      <c r="G59" s="9" t="n">
        <v>174979</v>
      </c>
      <c r="H59" s="9" t="n">
        <v>134033</v>
      </c>
      <c r="I59" s="9" t="n">
        <v>322661</v>
      </c>
      <c r="J59" s="10" t="n">
        <f aca="false">G59-H59</f>
        <v>40946</v>
      </c>
      <c r="K59" s="11" t="n">
        <f aca="false">J59/I59</f>
        <v>0.126900988963649</v>
      </c>
      <c r="L59" s="11" t="n">
        <f aca="false">I59/N59</f>
        <v>0.643045618510473</v>
      </c>
      <c r="M59" s="4" t="n">
        <f aca="false">INDEX('Lok Sabha seats'!$E:$E,MATCH(D59,'Lok Sabha seats'!$A:$A,0))</f>
        <v>0.0458243557490295</v>
      </c>
      <c r="N59" s="9" t="n">
        <v>501770</v>
      </c>
      <c r="O59" s="15"/>
      <c r="P59" s="10" t="n">
        <f aca="false">IF(O59&lt;&gt;"",O59,ROUND(N59*M59/(1+M59),0))</f>
        <v>21986</v>
      </c>
      <c r="Q59" s="16" t="n">
        <f aca="false">P59/J59</f>
        <v>0.536951106335173</v>
      </c>
      <c r="R59" s="2" t="str">
        <f aca="false">IF(P59&gt;J59,"Yes","No")</f>
        <v>No</v>
      </c>
      <c r="S59" s="2" t="str">
        <f aca="false">IF(P59*L59&gt;J59,"Yes","No")</f>
        <v>No</v>
      </c>
      <c r="T59" s="2" t="s">
        <v>171</v>
      </c>
    </row>
    <row r="60" customFormat="false" ht="15" hidden="false" customHeight="false" outlineLevel="0" collapsed="false">
      <c r="A60" s="2" t="n">
        <v>59</v>
      </c>
      <c r="B60" s="2" t="s">
        <v>133</v>
      </c>
      <c r="C60" s="2" t="s">
        <v>60</v>
      </c>
      <c r="D60" s="2" t="s">
        <v>133</v>
      </c>
      <c r="E60" s="2" t="s">
        <v>27</v>
      </c>
      <c r="F60" s="2" t="s">
        <v>18</v>
      </c>
      <c r="G60" s="9" t="n">
        <v>107967</v>
      </c>
      <c r="H60" s="9" t="n">
        <v>81412</v>
      </c>
      <c r="I60" s="9" t="n">
        <v>207469</v>
      </c>
      <c r="J60" s="10" t="n">
        <f aca="false">G60-H60</f>
        <v>26555</v>
      </c>
      <c r="K60" s="11" t="n">
        <f aca="false">J60/I60</f>
        <v>0.127995025762885</v>
      </c>
      <c r="L60" s="11" t="n">
        <f aca="false">I60/N60</f>
        <v>0.723062339029244</v>
      </c>
      <c r="M60" s="4" t="n">
        <f aca="false">INDEX('Lok Sabha seats'!$E:$E,MATCH(D60,'Lok Sabha seats'!$A:$A,0))</f>
        <v>0.0458243557490295</v>
      </c>
      <c r="N60" s="9" t="n">
        <v>286931</v>
      </c>
      <c r="O60" s="15"/>
      <c r="P60" s="10" t="n">
        <f aca="false">IF(O60&lt;&gt;"",O60,ROUND(N60*M60/(1+M60),0))</f>
        <v>12572</v>
      </c>
      <c r="Q60" s="16" t="n">
        <f aca="false">P60/J60</f>
        <v>0.473432498587837</v>
      </c>
      <c r="R60" s="2" t="str">
        <f aca="false">IF(P60&gt;J60,"Yes","No")</f>
        <v>No</v>
      </c>
      <c r="S60" s="2" t="str">
        <f aca="false">IF(P60*L60&gt;J60,"Yes","No")</f>
        <v>No</v>
      </c>
      <c r="T60" s="2" t="s">
        <v>171</v>
      </c>
    </row>
    <row r="61" customFormat="false" ht="15" hidden="false" customHeight="false" outlineLevel="0" collapsed="false">
      <c r="A61" s="2" t="n">
        <v>60</v>
      </c>
      <c r="B61" s="2" t="s">
        <v>213</v>
      </c>
      <c r="C61" s="2" t="s">
        <v>214</v>
      </c>
      <c r="D61" s="2" t="s">
        <v>20</v>
      </c>
      <c r="E61" s="2" t="s">
        <v>25</v>
      </c>
      <c r="F61" s="2" t="s">
        <v>18</v>
      </c>
      <c r="G61" s="9" t="n">
        <v>135813</v>
      </c>
      <c r="H61" s="9" t="n">
        <v>71508</v>
      </c>
      <c r="I61" s="9" t="n">
        <v>231723</v>
      </c>
      <c r="J61" s="10" t="n">
        <f aca="false">G61-H61</f>
        <v>64305</v>
      </c>
      <c r="K61" s="11" t="n">
        <f aca="false">J61/I61</f>
        <v>0.277508059191362</v>
      </c>
      <c r="L61" s="11" t="n">
        <f aca="false">I61/N61</f>
        <v>0.748152405182629</v>
      </c>
      <c r="M61" s="4" t="n">
        <f aca="false">INDEX('Lok Sabha seats'!$E:$E,MATCH(D61,'Lok Sabha seats'!$A:$A,0))</f>
        <v>0.0247828904305414</v>
      </c>
      <c r="N61" s="9" t="n">
        <v>309727</v>
      </c>
      <c r="O61" s="15"/>
      <c r="P61" s="10" t="n">
        <f aca="false">IF(O61&lt;&gt;"",O61,ROUND(N61*M61/(1+M61),0))</f>
        <v>7490</v>
      </c>
      <c r="Q61" s="16" t="n">
        <f aca="false">P61/J61</f>
        <v>0.116476168260633</v>
      </c>
      <c r="R61" s="2" t="str">
        <f aca="false">IF(P61&gt;J61,"Yes","No")</f>
        <v>No</v>
      </c>
      <c r="S61" s="2" t="str">
        <f aca="false">IF(P61*L61&gt;J61,"Yes","No")</f>
        <v>No</v>
      </c>
      <c r="T61" s="2" t="s">
        <v>171</v>
      </c>
    </row>
    <row r="62" customFormat="false" ht="15" hidden="false" customHeight="false" outlineLevel="0" collapsed="false">
      <c r="A62" s="2" t="n">
        <v>61</v>
      </c>
      <c r="B62" s="2" t="s">
        <v>215</v>
      </c>
      <c r="C62" s="2" t="s">
        <v>214</v>
      </c>
      <c r="D62" s="2" t="s">
        <v>20</v>
      </c>
      <c r="E62" s="2" t="s">
        <v>27</v>
      </c>
      <c r="F62" s="2" t="s">
        <v>18</v>
      </c>
      <c r="G62" s="9" t="n">
        <v>127884</v>
      </c>
      <c r="H62" s="9" t="n">
        <v>89517</v>
      </c>
      <c r="I62" s="9" t="n">
        <v>261950</v>
      </c>
      <c r="J62" s="10" t="n">
        <f aca="false">G62-H62</f>
        <v>38367</v>
      </c>
      <c r="K62" s="11" t="n">
        <f aca="false">J62/I62</f>
        <v>0.146466882992938</v>
      </c>
      <c r="L62" s="11" t="n">
        <f aca="false">I62/N62</f>
        <v>0.691768757245812</v>
      </c>
      <c r="M62" s="4" t="n">
        <f aca="false">INDEX('Lok Sabha seats'!$E:$E,MATCH(D62,'Lok Sabha seats'!$A:$A,0))</f>
        <v>0.0247828904305414</v>
      </c>
      <c r="N62" s="9" t="n">
        <v>378667</v>
      </c>
      <c r="O62" s="15"/>
      <c r="P62" s="10" t="n">
        <f aca="false">IF(O62&lt;&gt;"",O62,ROUND(N62*M62/(1+M62),0))</f>
        <v>9158</v>
      </c>
      <c r="Q62" s="16" t="n">
        <f aca="false">P62/J62</f>
        <v>0.238694711601116</v>
      </c>
      <c r="R62" s="2" t="str">
        <f aca="false">IF(P62&gt;J62,"Yes","No")</f>
        <v>No</v>
      </c>
      <c r="S62" s="2" t="str">
        <f aca="false">IF(P62*L62&gt;J62,"Yes","No")</f>
        <v>No</v>
      </c>
      <c r="T62" s="2" t="s">
        <v>171</v>
      </c>
    </row>
    <row r="63" customFormat="false" ht="15" hidden="false" customHeight="false" outlineLevel="0" collapsed="false">
      <c r="A63" s="2" t="n">
        <v>62</v>
      </c>
      <c r="B63" s="2" t="s">
        <v>19</v>
      </c>
      <c r="C63" s="2" t="s">
        <v>214</v>
      </c>
      <c r="D63" s="2" t="s">
        <v>20</v>
      </c>
      <c r="E63" s="2" t="s">
        <v>21</v>
      </c>
      <c r="F63" s="2" t="s">
        <v>22</v>
      </c>
      <c r="G63" s="9" t="n">
        <v>96795</v>
      </c>
      <c r="H63" s="9" t="n">
        <v>96587</v>
      </c>
      <c r="I63" s="9" t="n">
        <v>235626</v>
      </c>
      <c r="J63" s="10" t="n">
        <f aca="false">G63-H63</f>
        <v>208</v>
      </c>
      <c r="K63" s="11" t="n">
        <f aca="false">J63/I63</f>
        <v>0.000882754874249871</v>
      </c>
      <c r="L63" s="11" t="n">
        <f aca="false">I63/N63</f>
        <v>0.717330946553173</v>
      </c>
      <c r="M63" s="4" t="n">
        <f aca="false">INDEX('Lok Sabha seats'!$E:$E,MATCH(D63,'Lok Sabha seats'!$A:$A,0))</f>
        <v>0.0247828904305414</v>
      </c>
      <c r="N63" s="9" t="n">
        <v>328476</v>
      </c>
      <c r="O63" s="15"/>
      <c r="P63" s="10" t="n">
        <f aca="false">IF(O63&lt;&gt;"",O63,ROUND(N63*M63/(1+M63),0))</f>
        <v>7944</v>
      </c>
      <c r="Q63" s="16" t="n">
        <f aca="false">P63/J63</f>
        <v>38.1923076923077</v>
      </c>
      <c r="R63" s="2" t="str">
        <f aca="false">IF(P63&gt;J63,"Yes","No")</f>
        <v>Yes</v>
      </c>
      <c r="S63" s="2" t="str">
        <f aca="false">IF(P63*L63&gt;J63,"Yes","No")</f>
        <v>Yes</v>
      </c>
      <c r="T63" s="2" t="s">
        <v>171</v>
      </c>
    </row>
    <row r="64" customFormat="false" ht="15" hidden="false" customHeight="false" outlineLevel="0" collapsed="false">
      <c r="A64" s="2" t="n">
        <v>63</v>
      </c>
      <c r="B64" s="2" t="s">
        <v>216</v>
      </c>
      <c r="C64" s="2" t="s">
        <v>217</v>
      </c>
      <c r="D64" s="2" t="s">
        <v>20</v>
      </c>
      <c r="E64" s="2" t="s">
        <v>25</v>
      </c>
      <c r="F64" s="2" t="s">
        <v>18</v>
      </c>
      <c r="G64" s="9" t="n">
        <v>82506</v>
      </c>
      <c r="H64" s="9" t="n">
        <v>66091</v>
      </c>
      <c r="I64" s="9" t="n">
        <v>183184</v>
      </c>
      <c r="J64" s="10" t="n">
        <f aca="false">G64-H64</f>
        <v>16415</v>
      </c>
      <c r="K64" s="11" t="n">
        <f aca="false">J64/I64</f>
        <v>0.0896093545287798</v>
      </c>
      <c r="L64" s="11" t="n">
        <f aca="false">I64/N64</f>
        <v>0.70736699026127</v>
      </c>
      <c r="M64" s="4" t="n">
        <f aca="false">INDEX('Lok Sabha seats'!$E:$E,MATCH(D64,'Lok Sabha seats'!$A:$A,0))</f>
        <v>0.0247828904305414</v>
      </c>
      <c r="N64" s="9" t="n">
        <v>258966</v>
      </c>
      <c r="O64" s="15"/>
      <c r="P64" s="10" t="n">
        <f aca="false">IF(O64&lt;&gt;"",O64,ROUND(N64*M64/(1+M64),0))</f>
        <v>6263</v>
      </c>
      <c r="Q64" s="16" t="n">
        <f aca="false">P64/J64</f>
        <v>0.381541273225708</v>
      </c>
      <c r="R64" s="2" t="str">
        <f aca="false">IF(P64&gt;J64,"Yes","No")</f>
        <v>No</v>
      </c>
      <c r="S64" s="2" t="str">
        <f aca="false">IF(P64*L64&gt;J64,"Yes","No")</f>
        <v>No</v>
      </c>
      <c r="T64" s="2" t="s">
        <v>171</v>
      </c>
    </row>
    <row r="65" customFormat="false" ht="15" hidden="false" customHeight="false" outlineLevel="0" collapsed="false">
      <c r="A65" s="2" t="n">
        <v>64</v>
      </c>
      <c r="B65" s="2" t="s">
        <v>218</v>
      </c>
      <c r="C65" s="2" t="s">
        <v>217</v>
      </c>
      <c r="D65" s="2" t="s">
        <v>20</v>
      </c>
      <c r="E65" s="2" t="s">
        <v>17</v>
      </c>
      <c r="F65" s="2" t="s">
        <v>18</v>
      </c>
      <c r="G65" s="9" t="n">
        <v>102984</v>
      </c>
      <c r="H65" s="9" t="n">
        <v>60298</v>
      </c>
      <c r="I65" s="9" t="n">
        <v>178235</v>
      </c>
      <c r="J65" s="10" t="n">
        <f aca="false">G65-H65</f>
        <v>42686</v>
      </c>
      <c r="K65" s="11" t="n">
        <f aca="false">J65/I65</f>
        <v>0.239492804443572</v>
      </c>
      <c r="L65" s="11" t="n">
        <f aca="false">I65/N65</f>
        <v>0.657502056596048</v>
      </c>
      <c r="M65" s="4" t="n">
        <f aca="false">INDEX('Lok Sabha seats'!$E:$E,MATCH(D65,'Lok Sabha seats'!$A:$A,0))</f>
        <v>0.0247828904305414</v>
      </c>
      <c r="N65" s="9" t="n">
        <v>271079</v>
      </c>
      <c r="O65" s="15"/>
      <c r="P65" s="10" t="n">
        <f aca="false">IF(O65&lt;&gt;"",O65,ROUND(N65*M65/(1+M65),0))</f>
        <v>6556</v>
      </c>
      <c r="Q65" s="16" t="n">
        <f aca="false">P65/J65</f>
        <v>0.153586656046479</v>
      </c>
      <c r="R65" s="2" t="str">
        <f aca="false">IF(P65&gt;J65,"Yes","No")</f>
        <v>No</v>
      </c>
      <c r="S65" s="2" t="str">
        <f aca="false">IF(P65*L65&gt;J65,"Yes","No")</f>
        <v>No</v>
      </c>
      <c r="T65" s="2" t="s">
        <v>171</v>
      </c>
    </row>
    <row r="66" customFormat="false" ht="15" hidden="false" customHeight="false" outlineLevel="0" collapsed="false">
      <c r="A66" s="2" t="n">
        <v>65</v>
      </c>
      <c r="B66" s="2" t="s">
        <v>219</v>
      </c>
      <c r="C66" s="2" t="s">
        <v>217</v>
      </c>
      <c r="D66" s="2" t="s">
        <v>20</v>
      </c>
      <c r="E66" s="2" t="s">
        <v>17</v>
      </c>
      <c r="F66" s="2" t="s">
        <v>18</v>
      </c>
      <c r="G66" s="9" t="n">
        <v>143012</v>
      </c>
      <c r="H66" s="9" t="n">
        <v>81404</v>
      </c>
      <c r="I66" s="9" t="n">
        <v>233642</v>
      </c>
      <c r="J66" s="10" t="n">
        <f aca="false">G66-H66</f>
        <v>61608</v>
      </c>
      <c r="K66" s="11" t="n">
        <f aca="false">J66/I66</f>
        <v>0.263685467510122</v>
      </c>
      <c r="L66" s="11" t="n">
        <f aca="false">I66/N66</f>
        <v>0.717670692599737</v>
      </c>
      <c r="M66" s="4" t="n">
        <f aca="false">INDEX('Lok Sabha seats'!$E:$E,MATCH(D66,'Lok Sabha seats'!$A:$A,0))</f>
        <v>0.0247828904305414</v>
      </c>
      <c r="N66" s="9" t="n">
        <v>325556</v>
      </c>
      <c r="O66" s="15"/>
      <c r="P66" s="10" t="n">
        <f aca="false">IF(O66&lt;&gt;"",O66,ROUND(N66*M66/(1+M66),0))</f>
        <v>7873</v>
      </c>
      <c r="Q66" s="16" t="n">
        <f aca="false">P66/J66</f>
        <v>0.127791845214907</v>
      </c>
      <c r="R66" s="2" t="str">
        <f aca="false">IF(P66&gt;J66,"Yes","No")</f>
        <v>No</v>
      </c>
      <c r="S66" s="2" t="str">
        <f aca="false">IF(P66*L66&gt;J66,"Yes","No")</f>
        <v>No</v>
      </c>
      <c r="T66" s="2" t="s">
        <v>171</v>
      </c>
    </row>
    <row r="67" customFormat="false" ht="15" hidden="false" customHeight="false" outlineLevel="0" collapsed="false">
      <c r="A67" s="2" t="n">
        <v>66</v>
      </c>
      <c r="B67" s="2" t="s">
        <v>220</v>
      </c>
      <c r="C67" s="2" t="s">
        <v>217</v>
      </c>
      <c r="D67" s="2" t="s">
        <v>147</v>
      </c>
      <c r="E67" s="2" t="s">
        <v>17</v>
      </c>
      <c r="F67" s="2" t="s">
        <v>18</v>
      </c>
      <c r="G67" s="9" t="n">
        <v>110123</v>
      </c>
      <c r="H67" s="9" t="n">
        <v>77402</v>
      </c>
      <c r="I67" s="9" t="n">
        <v>197247</v>
      </c>
      <c r="J67" s="10" t="n">
        <f aca="false">G67-H67</f>
        <v>32721</v>
      </c>
      <c r="K67" s="11" t="n">
        <f aca="false">J67/I67</f>
        <v>0.165888454577256</v>
      </c>
      <c r="L67" s="11" t="n">
        <f aca="false">I67/N67</f>
        <v>0.731902530250576</v>
      </c>
      <c r="M67" s="4" t="n">
        <f aca="false">INDEX('Lok Sabha seats'!$E:$E,MATCH(D67,'Lok Sabha seats'!$A:$A,0))</f>
        <v>0.0186989049639286</v>
      </c>
      <c r="N67" s="9" t="n">
        <v>269499</v>
      </c>
      <c r="O67" s="15"/>
      <c r="P67" s="10" t="n">
        <f aca="false">IF(O67&lt;&gt;"",O67,ROUND(N67*M67/(1+M67),0))</f>
        <v>4947</v>
      </c>
      <c r="Q67" s="16" t="n">
        <f aca="false">P67/J67</f>
        <v>0.151187310901256</v>
      </c>
      <c r="R67" s="2" t="str">
        <f aca="false">IF(P67&gt;J67,"Yes","No")</f>
        <v>No</v>
      </c>
      <c r="S67" s="2" t="str">
        <f aca="false">IF(P67*L67&gt;J67,"Yes","No")</f>
        <v>No</v>
      </c>
      <c r="T67" s="2" t="s">
        <v>171</v>
      </c>
    </row>
    <row r="68" customFormat="false" ht="15" hidden="false" customHeight="false" outlineLevel="0" collapsed="false">
      <c r="A68" s="2" t="n">
        <v>67</v>
      </c>
      <c r="B68" s="2" t="s">
        <v>221</v>
      </c>
      <c r="C68" s="2" t="s">
        <v>222</v>
      </c>
      <c r="D68" s="2" t="s">
        <v>147</v>
      </c>
      <c r="E68" s="2" t="s">
        <v>21</v>
      </c>
      <c r="F68" s="2" t="s">
        <v>22</v>
      </c>
      <c r="G68" s="9" t="n">
        <v>98509</v>
      </c>
      <c r="H68" s="9" t="n">
        <v>92299</v>
      </c>
      <c r="I68" s="9" t="n">
        <v>203279</v>
      </c>
      <c r="J68" s="10" t="n">
        <f aca="false">G68-H68</f>
        <v>6210</v>
      </c>
      <c r="K68" s="11" t="n">
        <f aca="false">J68/I68</f>
        <v>0.0305491467392106</v>
      </c>
      <c r="L68" s="11" t="n">
        <f aca="false">I68/N68</f>
        <v>0.773597543107877</v>
      </c>
      <c r="M68" s="4" t="n">
        <f aca="false">INDEX('Lok Sabha seats'!$E:$E,MATCH(D68,'Lok Sabha seats'!$A:$A,0))</f>
        <v>0.0186989049639286</v>
      </c>
      <c r="N68" s="9" t="n">
        <v>262771</v>
      </c>
      <c r="O68" s="15"/>
      <c r="P68" s="10" t="n">
        <f aca="false">IF(O68&lt;&gt;"",O68,ROUND(N68*M68/(1+M68),0))</f>
        <v>4823</v>
      </c>
      <c r="Q68" s="16" t="n">
        <f aca="false">P68/J68</f>
        <v>0.776650563607085</v>
      </c>
      <c r="R68" s="2" t="str">
        <f aca="false">IF(P68&gt;J68,"Yes","No")</f>
        <v>No</v>
      </c>
      <c r="S68" s="2" t="str">
        <f aca="false">IF(P68*L68&gt;J68,"Yes","No")</f>
        <v>No</v>
      </c>
      <c r="T68" s="2" t="s">
        <v>171</v>
      </c>
    </row>
    <row r="69" customFormat="false" ht="15" hidden="false" customHeight="false" outlineLevel="0" collapsed="false">
      <c r="A69" s="2" t="n">
        <v>68</v>
      </c>
      <c r="B69" s="2" t="s">
        <v>223</v>
      </c>
      <c r="C69" s="2" t="s">
        <v>222</v>
      </c>
      <c r="D69" s="2" t="s">
        <v>147</v>
      </c>
      <c r="E69" s="2" t="s">
        <v>17</v>
      </c>
      <c r="F69" s="2" t="s">
        <v>18</v>
      </c>
      <c r="G69" s="9" t="n">
        <v>116540</v>
      </c>
      <c r="H69" s="9" t="n">
        <v>101035</v>
      </c>
      <c r="I69" s="9" t="n">
        <v>232337</v>
      </c>
      <c r="J69" s="10" t="n">
        <f aca="false">G69-H69</f>
        <v>15505</v>
      </c>
      <c r="K69" s="11" t="n">
        <f aca="false">J69/I69</f>
        <v>0.0667349582718207</v>
      </c>
      <c r="L69" s="11" t="n">
        <f aca="false">I69/N69</f>
        <v>0.756248718357675</v>
      </c>
      <c r="M69" s="4" t="n">
        <f aca="false">INDEX('Lok Sabha seats'!$E:$E,MATCH(D69,'Lok Sabha seats'!$A:$A,0))</f>
        <v>0.0186989049639286</v>
      </c>
      <c r="N69" s="9" t="n">
        <v>307223</v>
      </c>
      <c r="O69" s="15"/>
      <c r="P69" s="10" t="n">
        <f aca="false">IF(O69&lt;&gt;"",O69,ROUND(N69*M69/(1+M69),0))</f>
        <v>5639</v>
      </c>
      <c r="Q69" s="16" t="n">
        <f aca="false">P69/J69</f>
        <v>0.363689132537891</v>
      </c>
      <c r="R69" s="2" t="str">
        <f aca="false">IF(P69&gt;J69,"Yes","No")</f>
        <v>No</v>
      </c>
      <c r="S69" s="2" t="str">
        <f aca="false">IF(P69*L69&gt;J69,"Yes","No")</f>
        <v>No</v>
      </c>
      <c r="T69" s="2" t="s">
        <v>171</v>
      </c>
    </row>
    <row r="70" customFormat="false" ht="15" hidden="false" customHeight="false" outlineLevel="0" collapsed="false">
      <c r="A70" s="2" t="n">
        <v>69</v>
      </c>
      <c r="B70" s="2" t="s">
        <v>224</v>
      </c>
      <c r="C70" s="2" t="s">
        <v>222</v>
      </c>
      <c r="D70" s="2" t="s">
        <v>147</v>
      </c>
      <c r="E70" s="2" t="s">
        <v>25</v>
      </c>
      <c r="F70" s="2" t="s">
        <v>18</v>
      </c>
      <c r="G70" s="9" t="n">
        <v>54206</v>
      </c>
      <c r="H70" s="9" t="n">
        <v>37392</v>
      </c>
      <c r="I70" s="9" t="n">
        <v>185892</v>
      </c>
      <c r="J70" s="10" t="n">
        <f aca="false">G70-H70</f>
        <v>16814</v>
      </c>
      <c r="K70" s="11" t="n">
        <f aca="false">J70/I70</f>
        <v>0.0904503690314806</v>
      </c>
      <c r="L70" s="11" t="n">
        <f aca="false">I70/N70</f>
        <v>0.73924783564847</v>
      </c>
      <c r="M70" s="4" t="n">
        <f aca="false">INDEX('Lok Sabha seats'!$E:$E,MATCH(D70,'Lok Sabha seats'!$A:$A,0))</f>
        <v>0.0186989049639286</v>
      </c>
      <c r="N70" s="9" t="n">
        <v>251461</v>
      </c>
      <c r="O70" s="15"/>
      <c r="P70" s="10" t="n">
        <f aca="false">IF(O70&lt;&gt;"",O70,ROUND(N70*M70/(1+M70),0))</f>
        <v>4616</v>
      </c>
      <c r="Q70" s="16" t="n">
        <f aca="false">P70/J70</f>
        <v>0.274533127155941</v>
      </c>
      <c r="R70" s="2" t="str">
        <f aca="false">IF(P70&gt;J70,"Yes","No")</f>
        <v>No</v>
      </c>
      <c r="S70" s="2" t="str">
        <f aca="false">IF(P70*L70&gt;J70,"Yes","No")</f>
        <v>No</v>
      </c>
      <c r="T70" s="2" t="s">
        <v>171</v>
      </c>
    </row>
    <row r="71" customFormat="false" ht="15" hidden="false" customHeight="false" outlineLevel="0" collapsed="false">
      <c r="A71" s="2" t="n">
        <v>70</v>
      </c>
      <c r="B71" s="2" t="s">
        <v>68</v>
      </c>
      <c r="C71" s="2" t="s">
        <v>69</v>
      </c>
      <c r="D71" s="2" t="s">
        <v>69</v>
      </c>
      <c r="E71" s="2" t="s">
        <v>17</v>
      </c>
      <c r="F71" s="2" t="s">
        <v>18</v>
      </c>
      <c r="G71" s="9" t="n">
        <v>72882</v>
      </c>
      <c r="H71" s="9" t="n">
        <v>69828</v>
      </c>
      <c r="I71" s="9" t="n">
        <v>238723</v>
      </c>
      <c r="J71" s="10" t="n">
        <f aca="false">G71-H71</f>
        <v>3054</v>
      </c>
      <c r="K71" s="11" t="n">
        <f aca="false">J71/I71</f>
        <v>0.0127930697921859</v>
      </c>
      <c r="L71" s="11" t="n">
        <f aca="false">I71/N71</f>
        <v>0.733904537042161</v>
      </c>
      <c r="M71" s="4" t="n">
        <f aca="false">INDEX('Lok Sabha seats'!$E:$E,MATCH(D71,'Lok Sabha seats'!$A:$A,0))</f>
        <v>0.0346867576470179</v>
      </c>
      <c r="N71" s="9" t="n">
        <v>325278</v>
      </c>
      <c r="O71" s="15"/>
      <c r="P71" s="10" t="n">
        <f aca="false">IF(O71&lt;&gt;"",O71,ROUND(N71*M71/(1+M71),0))</f>
        <v>10905</v>
      </c>
      <c r="Q71" s="16" t="n">
        <f aca="false">P71/J71</f>
        <v>3.57072691552063</v>
      </c>
      <c r="R71" s="2" t="str">
        <f aca="false">IF(P71&gt;J71,"Yes","No")</f>
        <v>Yes</v>
      </c>
      <c r="S71" s="2" t="str">
        <f aca="false">IF(P71*L71&gt;J71,"Yes","No")</f>
        <v>Yes</v>
      </c>
      <c r="T71" s="2" t="s">
        <v>171</v>
      </c>
    </row>
    <row r="72" customFormat="false" ht="15" hidden="false" customHeight="false" outlineLevel="0" collapsed="false">
      <c r="A72" s="2" t="n">
        <v>71</v>
      </c>
      <c r="B72" s="2" t="s">
        <v>225</v>
      </c>
      <c r="C72" s="2" t="s">
        <v>69</v>
      </c>
      <c r="D72" s="2" t="s">
        <v>69</v>
      </c>
      <c r="E72" s="2" t="s">
        <v>17</v>
      </c>
      <c r="F72" s="2" t="s">
        <v>18</v>
      </c>
      <c r="G72" s="9" t="n">
        <v>106841</v>
      </c>
      <c r="H72" s="9" t="n">
        <v>84037</v>
      </c>
      <c r="I72" s="9" t="n">
        <v>219521</v>
      </c>
      <c r="J72" s="10" t="n">
        <f aca="false">G72-H72</f>
        <v>22804</v>
      </c>
      <c r="K72" s="11" t="n">
        <f aca="false">J72/I72</f>
        <v>0.103880722117702</v>
      </c>
      <c r="L72" s="11" t="n">
        <f aca="false">I72/N72</f>
        <v>0.587069133814889</v>
      </c>
      <c r="M72" s="4" t="n">
        <f aca="false">INDEX('Lok Sabha seats'!$E:$E,MATCH(D72,'Lok Sabha seats'!$A:$A,0))</f>
        <v>0.0346867576470179</v>
      </c>
      <c r="N72" s="9" t="n">
        <v>373927</v>
      </c>
      <c r="O72" s="15"/>
      <c r="P72" s="10" t="n">
        <f aca="false">IF(O72&lt;&gt;"",O72,ROUND(N72*M72/(1+M72),0))</f>
        <v>12535</v>
      </c>
      <c r="Q72" s="16" t="n">
        <f aca="false">P72/J72</f>
        <v>0.54968426591826</v>
      </c>
      <c r="R72" s="2" t="str">
        <f aca="false">IF(P72&gt;J72,"Yes","No")</f>
        <v>No</v>
      </c>
      <c r="S72" s="2" t="str">
        <f aca="false">IF(P72*L72&gt;J72,"Yes","No")</f>
        <v>No</v>
      </c>
      <c r="T72" s="2" t="s">
        <v>171</v>
      </c>
    </row>
    <row r="73" customFormat="false" ht="15" hidden="false" customHeight="false" outlineLevel="0" collapsed="false">
      <c r="A73" s="2" t="n">
        <v>72</v>
      </c>
      <c r="B73" s="2" t="s">
        <v>226</v>
      </c>
      <c r="C73" s="2" t="s">
        <v>69</v>
      </c>
      <c r="D73" s="2" t="s">
        <v>69</v>
      </c>
      <c r="E73" s="2" t="s">
        <v>17</v>
      </c>
      <c r="F73" s="2" t="s">
        <v>18</v>
      </c>
      <c r="G73" s="9" t="n">
        <v>105969</v>
      </c>
      <c r="H73" s="9" t="n">
        <v>79984</v>
      </c>
      <c r="I73" s="9" t="n">
        <v>219716</v>
      </c>
      <c r="J73" s="10" t="n">
        <f aca="false">G73-H73</f>
        <v>25985</v>
      </c>
      <c r="K73" s="11" t="n">
        <f aca="false">J73/I73</f>
        <v>0.118266307415027</v>
      </c>
      <c r="L73" s="11" t="n">
        <f aca="false">I73/N73</f>
        <v>0.703417585759793</v>
      </c>
      <c r="M73" s="4" t="n">
        <f aca="false">INDEX('Lok Sabha seats'!$E:$E,MATCH(D73,'Lok Sabha seats'!$A:$A,0))</f>
        <v>0.0346867576470179</v>
      </c>
      <c r="N73" s="9" t="n">
        <v>312355</v>
      </c>
      <c r="O73" s="15"/>
      <c r="P73" s="10" t="n">
        <f aca="false">IF(O73&lt;&gt;"",O73,ROUND(N73*M73/(1+M73),0))</f>
        <v>10471</v>
      </c>
      <c r="Q73" s="16" t="n">
        <f aca="false">P73/J73</f>
        <v>0.402963248027708</v>
      </c>
      <c r="R73" s="2" t="str">
        <f aca="false">IF(P73&gt;J73,"Yes","No")</f>
        <v>No</v>
      </c>
      <c r="S73" s="2" t="str">
        <f aca="false">IF(P73*L73&gt;J73,"Yes","No")</f>
        <v>No</v>
      </c>
      <c r="T73" s="2" t="s">
        <v>171</v>
      </c>
    </row>
    <row r="74" customFormat="false" ht="15" hidden="false" customHeight="false" outlineLevel="0" collapsed="false">
      <c r="A74" s="2" t="n">
        <v>73</v>
      </c>
      <c r="B74" s="2" t="s">
        <v>227</v>
      </c>
      <c r="C74" s="2" t="s">
        <v>69</v>
      </c>
      <c r="D74" s="2" t="s">
        <v>147</v>
      </c>
      <c r="E74" s="2" t="s">
        <v>21</v>
      </c>
      <c r="F74" s="2" t="s">
        <v>22</v>
      </c>
      <c r="G74" s="9" t="n">
        <v>114196</v>
      </c>
      <c r="H74" s="9" t="n">
        <v>100225</v>
      </c>
      <c r="I74" s="9" t="n">
        <v>224221</v>
      </c>
      <c r="J74" s="10" t="n">
        <f aca="false">G74-H74</f>
        <v>13971</v>
      </c>
      <c r="K74" s="11" t="n">
        <f aca="false">J74/I74</f>
        <v>0.0623090611494909</v>
      </c>
      <c r="L74" s="11" t="n">
        <f aca="false">I74/N74</f>
        <v>0.813379234290772</v>
      </c>
      <c r="M74" s="4" t="n">
        <f aca="false">INDEX('Lok Sabha seats'!$E:$E,MATCH(D74,'Lok Sabha seats'!$A:$A,0))</f>
        <v>0.0186989049639286</v>
      </c>
      <c r="N74" s="9" t="n">
        <v>275666</v>
      </c>
      <c r="O74" s="15"/>
      <c r="P74" s="10" t="n">
        <f aca="false">IF(O74&lt;&gt;"",O74,ROUND(N74*M74/(1+M74),0))</f>
        <v>5060</v>
      </c>
      <c r="Q74" s="16" t="n">
        <f aca="false">P74/J74</f>
        <v>0.362178798940663</v>
      </c>
      <c r="R74" s="2" t="str">
        <f aca="false">IF(P74&gt;J74,"Yes","No")</f>
        <v>No</v>
      </c>
      <c r="S74" s="2" t="str">
        <f aca="false">IF(P74*L74&gt;J74,"Yes","No")</f>
        <v>No</v>
      </c>
      <c r="T74" s="2" t="s">
        <v>171</v>
      </c>
    </row>
    <row r="75" customFormat="false" ht="15" hidden="false" customHeight="false" outlineLevel="0" collapsed="false">
      <c r="A75" s="2" t="n">
        <v>74</v>
      </c>
      <c r="B75" s="2" t="s">
        <v>228</v>
      </c>
      <c r="C75" s="2" t="s">
        <v>69</v>
      </c>
      <c r="D75" s="2" t="s">
        <v>147</v>
      </c>
      <c r="E75" s="2" t="s">
        <v>17</v>
      </c>
      <c r="F75" s="2" t="s">
        <v>18</v>
      </c>
      <c r="G75" s="9" t="n">
        <v>116495</v>
      </c>
      <c r="H75" s="9" t="n">
        <v>106642</v>
      </c>
      <c r="I75" s="9" t="n">
        <v>231831</v>
      </c>
      <c r="J75" s="10" t="n">
        <f aca="false">G75-H75</f>
        <v>9853</v>
      </c>
      <c r="K75" s="11" t="n">
        <f aca="false">J75/I75</f>
        <v>0.0425007872113738</v>
      </c>
      <c r="L75" s="11" t="n">
        <f aca="false">I75/N75</f>
        <v>0.825529596513156</v>
      </c>
      <c r="M75" s="4" t="n">
        <f aca="false">INDEX('Lok Sabha seats'!$E:$E,MATCH(D75,'Lok Sabha seats'!$A:$A,0))</f>
        <v>0.0186989049639286</v>
      </c>
      <c r="N75" s="9" t="n">
        <v>280827</v>
      </c>
      <c r="O75" s="15"/>
      <c r="P75" s="10" t="n">
        <f aca="false">IF(O75&lt;&gt;"",O75,ROUND(N75*M75/(1+M75),0))</f>
        <v>5155</v>
      </c>
      <c r="Q75" s="16" t="n">
        <f aca="false">P75/J75</f>
        <v>0.523190906322947</v>
      </c>
      <c r="R75" s="2" t="str">
        <f aca="false">IF(P75&gt;J75,"Yes","No")</f>
        <v>No</v>
      </c>
      <c r="S75" s="2" t="str">
        <f aca="false">IF(P75*L75&gt;J75,"Yes","No")</f>
        <v>No</v>
      </c>
      <c r="T75" s="2" t="s">
        <v>171</v>
      </c>
    </row>
    <row r="76" customFormat="false" ht="15" hidden="false" customHeight="false" outlineLevel="0" collapsed="false">
      <c r="A76" s="2" t="n">
        <v>75</v>
      </c>
      <c r="B76" s="2" t="s">
        <v>229</v>
      </c>
      <c r="C76" s="2" t="s">
        <v>69</v>
      </c>
      <c r="D76" s="2" t="s">
        <v>69</v>
      </c>
      <c r="E76" s="2" t="s">
        <v>17</v>
      </c>
      <c r="F76" s="2" t="s">
        <v>18</v>
      </c>
      <c r="G76" s="9" t="n">
        <v>65170</v>
      </c>
      <c r="H76" s="9" t="n">
        <v>49720</v>
      </c>
      <c r="I76" s="9" t="n">
        <v>198326</v>
      </c>
      <c r="J76" s="10" t="n">
        <f aca="false">G76-H76</f>
        <v>15450</v>
      </c>
      <c r="K76" s="11" t="n">
        <f aca="false">J76/I76</f>
        <v>0.0779020400754314</v>
      </c>
      <c r="L76" s="11" t="n">
        <f aca="false">I76/N76</f>
        <v>0.703161507397651</v>
      </c>
      <c r="M76" s="4" t="n">
        <f aca="false">INDEX('Lok Sabha seats'!$E:$E,MATCH(D76,'Lok Sabha seats'!$A:$A,0))</f>
        <v>0.0346867576470179</v>
      </c>
      <c r="N76" s="9" t="n">
        <v>282049</v>
      </c>
      <c r="O76" s="15"/>
      <c r="P76" s="10" t="n">
        <f aca="false">IF(O76&lt;&gt;"",O76,ROUND(N76*M76/(1+M76),0))</f>
        <v>9455</v>
      </c>
      <c r="Q76" s="16" t="n">
        <f aca="false">P76/J76</f>
        <v>0.611974110032363</v>
      </c>
      <c r="R76" s="2" t="str">
        <f aca="false">IF(P76&gt;J76,"Yes","No")</f>
        <v>No</v>
      </c>
      <c r="S76" s="2" t="str">
        <f aca="false">IF(P76*L76&gt;J76,"Yes","No")</f>
        <v>No</v>
      </c>
      <c r="T76" s="2" t="s">
        <v>171</v>
      </c>
    </row>
    <row r="77" customFormat="false" ht="15" hidden="false" customHeight="false" outlineLevel="0" collapsed="false">
      <c r="A77" s="2" t="n">
        <v>76</v>
      </c>
      <c r="B77" s="2" t="s">
        <v>230</v>
      </c>
      <c r="C77" s="2" t="s">
        <v>123</v>
      </c>
      <c r="D77" s="2" t="s">
        <v>69</v>
      </c>
      <c r="E77" s="2" t="s">
        <v>44</v>
      </c>
      <c r="F77" s="2" t="s">
        <v>22</v>
      </c>
      <c r="G77" s="9" t="n">
        <v>94618</v>
      </c>
      <c r="H77" s="9" t="n">
        <v>79058</v>
      </c>
      <c r="I77" s="9" t="n">
        <v>220503</v>
      </c>
      <c r="J77" s="10" t="n">
        <f aca="false">G77-H77</f>
        <v>15560</v>
      </c>
      <c r="K77" s="11" t="n">
        <f aca="false">J77/I77</f>
        <v>0.0705659333433105</v>
      </c>
      <c r="L77" s="11" t="n">
        <f aca="false">I77/N77</f>
        <v>0.770922122192116</v>
      </c>
      <c r="M77" s="4" t="n">
        <f aca="false">INDEX('Lok Sabha seats'!$E:$E,MATCH(D77,'Lok Sabha seats'!$A:$A,0))</f>
        <v>0.0346867576470179</v>
      </c>
      <c r="N77" s="9" t="n">
        <v>286025</v>
      </c>
      <c r="O77" s="15"/>
      <c r="P77" s="10" t="n">
        <f aca="false">IF(O77&lt;&gt;"",O77,ROUND(N77*M77/(1+M77),0))</f>
        <v>9589</v>
      </c>
      <c r="Q77" s="16" t="n">
        <f aca="false">P77/J77</f>
        <v>0.616259640102828</v>
      </c>
      <c r="R77" s="2" t="str">
        <f aca="false">IF(P77&gt;J77,"Yes","No")</f>
        <v>No</v>
      </c>
      <c r="S77" s="2" t="str">
        <f aca="false">IF(P77*L77&gt;J77,"Yes","No")</f>
        <v>No</v>
      </c>
      <c r="T77" s="2" t="s">
        <v>171</v>
      </c>
    </row>
    <row r="78" customFormat="false" ht="15" hidden="false" customHeight="false" outlineLevel="0" collapsed="false">
      <c r="A78" s="2" t="n">
        <v>77</v>
      </c>
      <c r="B78" s="2" t="s">
        <v>66</v>
      </c>
      <c r="C78" s="2" t="s">
        <v>123</v>
      </c>
      <c r="D78" s="2" t="s">
        <v>67</v>
      </c>
      <c r="E78" s="2" t="s">
        <v>17</v>
      </c>
      <c r="F78" s="2" t="s">
        <v>18</v>
      </c>
      <c r="G78" s="9" t="n">
        <v>101398</v>
      </c>
      <c r="H78" s="9" t="n">
        <v>98586</v>
      </c>
      <c r="I78" s="9" t="n">
        <v>214236</v>
      </c>
      <c r="J78" s="10" t="n">
        <f aca="false">G78-H78</f>
        <v>2812</v>
      </c>
      <c r="K78" s="11" t="n">
        <f aca="false">J78/I78</f>
        <v>0.0131257118318116</v>
      </c>
      <c r="L78" s="11" t="n">
        <f aca="false">I78/N78</f>
        <v>0.743836258528202</v>
      </c>
      <c r="M78" s="4" t="n">
        <f aca="false">INDEX('Lok Sabha seats'!$E:$E,MATCH(D78,'Lok Sabha seats'!$A:$A,0))</f>
        <v>0.0364714392585769</v>
      </c>
      <c r="N78" s="9" t="n">
        <v>288015</v>
      </c>
      <c r="O78" s="15"/>
      <c r="P78" s="10" t="n">
        <f aca="false">IF(O78&lt;&gt;"",O78,ROUND(N78*M78/(1+M78),0))</f>
        <v>10135</v>
      </c>
      <c r="Q78" s="16" t="n">
        <f aca="false">P78/J78</f>
        <v>3.60419630156472</v>
      </c>
      <c r="R78" s="2" t="str">
        <f aca="false">IF(P78&gt;J78,"Yes","No")</f>
        <v>Yes</v>
      </c>
      <c r="S78" s="2" t="str">
        <f aca="false">IF(P78*L78&gt;J78,"Yes","No")</f>
        <v>Yes</v>
      </c>
      <c r="T78" s="2" t="s">
        <v>171</v>
      </c>
    </row>
    <row r="79" customFormat="false" ht="15" hidden="false" customHeight="false" outlineLevel="0" collapsed="false">
      <c r="A79" s="2" t="n">
        <v>78</v>
      </c>
      <c r="B79" s="2" t="s">
        <v>123</v>
      </c>
      <c r="C79" s="2" t="s">
        <v>123</v>
      </c>
      <c r="D79" s="2" t="s">
        <v>67</v>
      </c>
      <c r="E79" s="2" t="s">
        <v>21</v>
      </c>
      <c r="F79" s="2" t="s">
        <v>22</v>
      </c>
      <c r="G79" s="9" t="n">
        <v>117504</v>
      </c>
      <c r="H79" s="9" t="n">
        <v>106123</v>
      </c>
      <c r="I79" s="9" t="n">
        <v>239072</v>
      </c>
      <c r="J79" s="10" t="n">
        <f aca="false">G79-H79</f>
        <v>11381</v>
      </c>
      <c r="K79" s="11" t="n">
        <f aca="false">J79/I79</f>
        <v>0.0476049056351225</v>
      </c>
      <c r="L79" s="11" t="n">
        <f aca="false">I79/N79</f>
        <v>0.643914684105484</v>
      </c>
      <c r="M79" s="4" t="n">
        <f aca="false">INDEX('Lok Sabha seats'!$E:$E,MATCH(D79,'Lok Sabha seats'!$A:$A,0))</f>
        <v>0.0364714392585769</v>
      </c>
      <c r="N79" s="9" t="n">
        <v>371279</v>
      </c>
      <c r="O79" s="15"/>
      <c r="P79" s="10" t="n">
        <f aca="false">IF(O79&lt;&gt;"",O79,ROUND(N79*M79/(1+M79),0))</f>
        <v>13065</v>
      </c>
      <c r="Q79" s="16" t="n">
        <f aca="false">P79/J79</f>
        <v>1.14796590809243</v>
      </c>
      <c r="R79" s="2" t="str">
        <f aca="false">IF(P79&gt;J79,"Yes","No")</f>
        <v>Yes</v>
      </c>
      <c r="S79" s="2" t="str">
        <f aca="false">IF(P79*L79&gt;J79,"Yes","No")</f>
        <v>No</v>
      </c>
      <c r="T79" s="2" t="s">
        <v>171</v>
      </c>
    </row>
    <row r="80" customFormat="false" ht="15" hidden="false" customHeight="false" outlineLevel="0" collapsed="false">
      <c r="A80" s="2" t="n">
        <v>79</v>
      </c>
      <c r="B80" s="2" t="s">
        <v>231</v>
      </c>
      <c r="C80" s="2" t="s">
        <v>123</v>
      </c>
      <c r="D80" s="2" t="s">
        <v>67</v>
      </c>
      <c r="E80" s="2" t="s">
        <v>27</v>
      </c>
      <c r="F80" s="2" t="s">
        <v>18</v>
      </c>
      <c r="G80" s="9" t="n">
        <v>143115</v>
      </c>
      <c r="H80" s="9" t="n">
        <v>114340</v>
      </c>
      <c r="I80" s="9" t="n">
        <v>263855</v>
      </c>
      <c r="J80" s="10" t="n">
        <f aca="false">G80-H80</f>
        <v>28775</v>
      </c>
      <c r="K80" s="11" t="n">
        <f aca="false">J80/I80</f>
        <v>0.109056110363647</v>
      </c>
      <c r="L80" s="11" t="n">
        <f aca="false">I80/N80</f>
        <v>0.762875539582906</v>
      </c>
      <c r="M80" s="4" t="n">
        <f aca="false">INDEX('Lok Sabha seats'!$E:$E,MATCH(D80,'Lok Sabha seats'!$A:$A,0))</f>
        <v>0.0364714392585769</v>
      </c>
      <c r="N80" s="9" t="n">
        <v>345869</v>
      </c>
      <c r="O80" s="15"/>
      <c r="P80" s="10" t="n">
        <f aca="false">IF(O80&lt;&gt;"",O80,ROUND(N80*M80/(1+M80),0))</f>
        <v>12170</v>
      </c>
      <c r="Q80" s="16" t="n">
        <f aca="false">P80/J80</f>
        <v>0.422936576889661</v>
      </c>
      <c r="R80" s="2" t="str">
        <f aca="false">IF(P80&gt;J80,"Yes","No")</f>
        <v>No</v>
      </c>
      <c r="S80" s="2" t="str">
        <f aca="false">IF(P80*L80&gt;J80,"Yes","No")</f>
        <v>No</v>
      </c>
      <c r="T80" s="2" t="s">
        <v>171</v>
      </c>
    </row>
    <row r="81" customFormat="false" ht="15" hidden="false" customHeight="false" outlineLevel="0" collapsed="false">
      <c r="A81" s="2" t="n">
        <v>80</v>
      </c>
      <c r="B81" s="2" t="s">
        <v>232</v>
      </c>
      <c r="C81" s="2" t="s">
        <v>123</v>
      </c>
      <c r="D81" s="2" t="s">
        <v>69</v>
      </c>
      <c r="E81" s="2" t="s">
        <v>17</v>
      </c>
      <c r="F81" s="2" t="s">
        <v>18</v>
      </c>
      <c r="G81" s="9" t="n">
        <v>127203</v>
      </c>
      <c r="H81" s="9" t="n">
        <v>97890</v>
      </c>
      <c r="I81" s="9" t="n">
        <v>235517</v>
      </c>
      <c r="J81" s="10" t="n">
        <f aca="false">G81-H81</f>
        <v>29313</v>
      </c>
      <c r="K81" s="11" t="n">
        <f aca="false">J81/I81</f>
        <v>0.124462353036087</v>
      </c>
      <c r="L81" s="11" t="n">
        <f aca="false">I81/N81</f>
        <v>0.731367014157374</v>
      </c>
      <c r="M81" s="4" t="n">
        <f aca="false">INDEX('Lok Sabha seats'!$E:$E,MATCH(D81,'Lok Sabha seats'!$A:$A,0))</f>
        <v>0.0346867576470179</v>
      </c>
      <c r="N81" s="9" t="n">
        <v>322023</v>
      </c>
      <c r="O81" s="15"/>
      <c r="P81" s="10" t="n">
        <f aca="false">IF(O81&lt;&gt;"",O81,ROUND(N81*M81/(1+M81),0))</f>
        <v>10795</v>
      </c>
      <c r="Q81" s="16" t="n">
        <f aca="false">P81/J81</f>
        <v>0.368266639375021</v>
      </c>
      <c r="R81" s="2" t="str">
        <f aca="false">IF(P81&gt;J81,"Yes","No")</f>
        <v>No</v>
      </c>
      <c r="S81" s="2" t="str">
        <f aca="false">IF(P81*L81&gt;J81,"Yes","No")</f>
        <v>No</v>
      </c>
      <c r="T81" s="2" t="s">
        <v>171</v>
      </c>
    </row>
    <row r="82" customFormat="false" ht="15" hidden="false" customHeight="false" outlineLevel="0" collapsed="false">
      <c r="A82" s="2" t="n">
        <v>81</v>
      </c>
      <c r="B82" s="2" t="s">
        <v>233</v>
      </c>
      <c r="C82" s="2" t="s">
        <v>123</v>
      </c>
      <c r="D82" s="2" t="s">
        <v>67</v>
      </c>
      <c r="E82" s="2" t="s">
        <v>25</v>
      </c>
      <c r="F82" s="2" t="s">
        <v>18</v>
      </c>
      <c r="G82" s="9" t="n">
        <v>127964</v>
      </c>
      <c r="H82" s="9" t="n">
        <v>37195</v>
      </c>
      <c r="I82" s="9" t="n">
        <v>214777</v>
      </c>
      <c r="J82" s="10" t="n">
        <f aca="false">G82-H82</f>
        <v>90769</v>
      </c>
      <c r="K82" s="11" t="n">
        <f aca="false">J82/I82</f>
        <v>0.422619740475004</v>
      </c>
      <c r="L82" s="11" t="n">
        <f aca="false">I82/N82</f>
        <v>0.667369945249918</v>
      </c>
      <c r="M82" s="4" t="n">
        <f aca="false">INDEX('Lok Sabha seats'!$E:$E,MATCH(D82,'Lok Sabha seats'!$A:$A,0))</f>
        <v>0.0364714392585769</v>
      </c>
      <c r="N82" s="9" t="n">
        <v>321826</v>
      </c>
      <c r="O82" s="15"/>
      <c r="P82" s="10" t="n">
        <f aca="false">IF(O82&lt;&gt;"",O82,ROUND(N82*M82/(1+M82),0))</f>
        <v>11324</v>
      </c>
      <c r="Q82" s="16" t="n">
        <f aca="false">P82/J82</f>
        <v>0.124756249380295</v>
      </c>
      <c r="R82" s="2" t="str">
        <f aca="false">IF(P82&gt;J82,"Yes","No")</f>
        <v>No</v>
      </c>
      <c r="S82" s="2" t="str">
        <f aca="false">IF(P82*L82&gt;J82,"Yes","No")</f>
        <v>No</v>
      </c>
      <c r="T82" s="2" t="s">
        <v>171</v>
      </c>
    </row>
    <row r="83" customFormat="false" ht="15" hidden="false" customHeight="false" outlineLevel="0" collapsed="false">
      <c r="A83" s="2" t="n">
        <v>82</v>
      </c>
      <c r="B83" s="2" t="s">
        <v>234</v>
      </c>
      <c r="C83" s="2" t="s">
        <v>123</v>
      </c>
      <c r="D83" s="2" t="s">
        <v>108</v>
      </c>
      <c r="E83" s="2" t="s">
        <v>17</v>
      </c>
      <c r="F83" s="2" t="s">
        <v>18</v>
      </c>
      <c r="G83" s="9" t="n">
        <v>108682</v>
      </c>
      <c r="H83" s="9" t="n">
        <v>92053</v>
      </c>
      <c r="I83" s="9" t="n">
        <v>219915</v>
      </c>
      <c r="J83" s="10" t="n">
        <f aca="false">G83-H83</f>
        <v>16629</v>
      </c>
      <c r="K83" s="11" t="n">
        <f aca="false">J83/I83</f>
        <v>0.0756155787463338</v>
      </c>
      <c r="L83" s="11" t="n">
        <f aca="false">I83/N83</f>
        <v>0.693445042158835</v>
      </c>
      <c r="M83" s="4" t="n">
        <f aca="false">INDEX('Lok Sabha seats'!$E:$E,MATCH(D83,'Lok Sabha seats'!$A:$A,0))</f>
        <v>0.0340616393817797</v>
      </c>
      <c r="N83" s="9" t="n">
        <v>317134</v>
      </c>
      <c r="O83" s="15"/>
      <c r="P83" s="10" t="n">
        <f aca="false">IF(O83&lt;&gt;"",O83,ROUND(N83*M83/(1+M83),0))</f>
        <v>10446</v>
      </c>
      <c r="Q83" s="16" t="n">
        <f aca="false">P83/J83</f>
        <v>0.628179686090565</v>
      </c>
      <c r="R83" s="2" t="str">
        <f aca="false">IF(P83&gt;J83,"Yes","No")</f>
        <v>No</v>
      </c>
      <c r="S83" s="2" t="str">
        <f aca="false">IF(P83*L83&gt;J83,"Yes","No")</f>
        <v>No</v>
      </c>
      <c r="T83" s="2" t="s">
        <v>171</v>
      </c>
    </row>
    <row r="84" customFormat="false" ht="15" hidden="false" customHeight="false" outlineLevel="0" collapsed="false">
      <c r="A84" s="2" t="n">
        <v>83</v>
      </c>
      <c r="B84" s="2" t="s">
        <v>107</v>
      </c>
      <c r="C84" s="2" t="s">
        <v>62</v>
      </c>
      <c r="D84" s="2" t="s">
        <v>108</v>
      </c>
      <c r="E84" s="2" t="s">
        <v>17</v>
      </c>
      <c r="F84" s="2" t="s">
        <v>18</v>
      </c>
      <c r="G84" s="9" t="n">
        <v>92856</v>
      </c>
      <c r="H84" s="9" t="n">
        <v>87220</v>
      </c>
      <c r="I84" s="9" t="n">
        <v>202345</v>
      </c>
      <c r="J84" s="10" t="n">
        <f aca="false">G84-H84</f>
        <v>5636</v>
      </c>
      <c r="K84" s="11" t="n">
        <f aca="false">J84/I84</f>
        <v>0.0278534186661395</v>
      </c>
      <c r="L84" s="11" t="n">
        <f aca="false">I84/N84</f>
        <v>0.726122763892129</v>
      </c>
      <c r="M84" s="4" t="n">
        <f aca="false">INDEX('Lok Sabha seats'!$E:$E,MATCH(D84,'Lok Sabha seats'!$A:$A,0))</f>
        <v>0.0340616393817797</v>
      </c>
      <c r="N84" s="9" t="n">
        <v>278665</v>
      </c>
      <c r="O84" s="15"/>
      <c r="P84" s="10" t="n">
        <f aca="false">IF(O84&lt;&gt;"",O84,ROUND(N84*M84/(1+M84),0))</f>
        <v>9179</v>
      </c>
      <c r="Q84" s="16" t="n">
        <f aca="false">P84/J84</f>
        <v>1.62863733144074</v>
      </c>
      <c r="R84" s="2" t="str">
        <f aca="false">IF(P84&gt;J84,"Yes","No")</f>
        <v>Yes</v>
      </c>
      <c r="S84" s="2" t="str">
        <f aca="false">IF(P84*L84&gt;J84,"Yes","No")</f>
        <v>Yes</v>
      </c>
      <c r="T84" s="2" t="s">
        <v>171</v>
      </c>
    </row>
    <row r="85" customFormat="false" ht="15" hidden="false" customHeight="false" outlineLevel="0" collapsed="false">
      <c r="A85" s="2" t="n">
        <v>84</v>
      </c>
      <c r="B85" s="2" t="s">
        <v>235</v>
      </c>
      <c r="C85" s="2" t="s">
        <v>62</v>
      </c>
      <c r="D85" s="2" t="s">
        <v>108</v>
      </c>
      <c r="E85" s="2" t="s">
        <v>27</v>
      </c>
      <c r="F85" s="2" t="s">
        <v>18</v>
      </c>
      <c r="G85" s="9" t="n">
        <v>113245</v>
      </c>
      <c r="H85" s="9" t="n">
        <v>83178</v>
      </c>
      <c r="I85" s="9" t="n">
        <v>216364</v>
      </c>
      <c r="J85" s="10" t="n">
        <f aca="false">G85-H85</f>
        <v>30067</v>
      </c>
      <c r="K85" s="11" t="n">
        <f aca="false">J85/I85</f>
        <v>0.138964892495979</v>
      </c>
      <c r="L85" s="11" t="n">
        <f aca="false">I85/N85</f>
        <v>0.723417344843958</v>
      </c>
      <c r="M85" s="4" t="n">
        <f aca="false">INDEX('Lok Sabha seats'!$E:$E,MATCH(D85,'Lok Sabha seats'!$A:$A,0))</f>
        <v>0.0340616393817797</v>
      </c>
      <c r="N85" s="9" t="n">
        <v>299086</v>
      </c>
      <c r="O85" s="15"/>
      <c r="P85" s="10" t="n">
        <f aca="false">IF(O85&lt;&gt;"",O85,ROUND(N85*M85/(1+M85),0))</f>
        <v>9852</v>
      </c>
      <c r="Q85" s="16" t="n">
        <f aca="false">P85/J85</f>
        <v>0.327668207669538</v>
      </c>
      <c r="R85" s="2" t="str">
        <f aca="false">IF(P85&gt;J85,"Yes","No")</f>
        <v>No</v>
      </c>
      <c r="S85" s="2" t="str">
        <f aca="false">IF(P85*L85&gt;J85,"Yes","No")</f>
        <v>No</v>
      </c>
      <c r="T85" s="2" t="s">
        <v>171</v>
      </c>
    </row>
    <row r="86" customFormat="false" ht="15" hidden="false" customHeight="false" outlineLevel="0" collapsed="false">
      <c r="A86" s="2" t="n">
        <v>85</v>
      </c>
      <c r="B86" s="2" t="s">
        <v>236</v>
      </c>
      <c r="C86" s="2" t="s">
        <v>62</v>
      </c>
      <c r="D86" s="2" t="s">
        <v>62</v>
      </c>
      <c r="E86" s="2" t="s">
        <v>17</v>
      </c>
      <c r="F86" s="2" t="s">
        <v>18</v>
      </c>
      <c r="G86" s="9" t="n">
        <v>133187</v>
      </c>
      <c r="H86" s="9" t="n">
        <v>82636</v>
      </c>
      <c r="I86" s="9" t="n">
        <v>233334</v>
      </c>
      <c r="J86" s="10" t="n">
        <f aca="false">G86-H86</f>
        <v>50551</v>
      </c>
      <c r="K86" s="11" t="n">
        <f aca="false">J86/I86</f>
        <v>0.216646523867075</v>
      </c>
      <c r="L86" s="11" t="n">
        <f aca="false">I86/N86</f>
        <v>0.769817520776766</v>
      </c>
      <c r="M86" s="4" t="n">
        <f aca="false">INDEX('Lok Sabha seats'!$E:$E,MATCH(D86,'Lok Sabha seats'!$A:$A,0))</f>
        <v>0.0306197663624832</v>
      </c>
      <c r="N86" s="9" t="n">
        <v>303103</v>
      </c>
      <c r="O86" s="15"/>
      <c r="P86" s="10" t="n">
        <f aca="false">IF(O86&lt;&gt;"",O86,ROUND(N86*M86/(1+M86),0))</f>
        <v>9005</v>
      </c>
      <c r="Q86" s="16" t="n">
        <f aca="false">P86/J86</f>
        <v>0.178136931020158</v>
      </c>
      <c r="R86" s="2" t="str">
        <f aca="false">IF(P86&gt;J86,"Yes","No")</f>
        <v>No</v>
      </c>
      <c r="S86" s="2" t="str">
        <f aca="false">IF(P86*L86&gt;J86,"Yes","No")</f>
        <v>No</v>
      </c>
      <c r="T86" s="2" t="s">
        <v>171</v>
      </c>
    </row>
    <row r="87" customFormat="false" ht="15" hidden="false" customHeight="false" outlineLevel="0" collapsed="false">
      <c r="A87" s="2" t="n">
        <v>86</v>
      </c>
      <c r="B87" s="2" t="s">
        <v>80</v>
      </c>
      <c r="C87" s="2" t="s">
        <v>62</v>
      </c>
      <c r="D87" s="2" t="s">
        <v>62</v>
      </c>
      <c r="E87" s="2" t="s">
        <v>27</v>
      </c>
      <c r="F87" s="2" t="s">
        <v>18</v>
      </c>
      <c r="G87" s="9" t="n">
        <v>83184</v>
      </c>
      <c r="H87" s="9" t="n">
        <v>79682</v>
      </c>
      <c r="I87" s="9" t="n">
        <v>220764</v>
      </c>
      <c r="J87" s="10" t="n">
        <f aca="false">G87-H87</f>
        <v>3502</v>
      </c>
      <c r="K87" s="11" t="n">
        <f aca="false">J87/I87</f>
        <v>0.0158630936203367</v>
      </c>
      <c r="L87" s="11" t="n">
        <f aca="false">I87/N87</f>
        <v>0.61508199644487</v>
      </c>
      <c r="M87" s="4" t="n">
        <f aca="false">INDEX('Lok Sabha seats'!$E:$E,MATCH(D87,'Lok Sabha seats'!$A:$A,0))</f>
        <v>0.0306197663624832</v>
      </c>
      <c r="N87" s="9" t="n">
        <v>358918</v>
      </c>
      <c r="O87" s="15"/>
      <c r="P87" s="10" t="n">
        <f aca="false">IF(O87&lt;&gt;"",O87,ROUND(N87*M87/(1+M87),0))</f>
        <v>10663</v>
      </c>
      <c r="Q87" s="16" t="n">
        <f aca="false">P87/J87</f>
        <v>3.04483152484295</v>
      </c>
      <c r="R87" s="2" t="str">
        <f aca="false">IF(P87&gt;J87,"Yes","No")</f>
        <v>Yes</v>
      </c>
      <c r="S87" s="2" t="str">
        <f aca="false">IF(P87*L87&gt;J87,"Yes","No")</f>
        <v>Yes</v>
      </c>
      <c r="T87" s="2" t="s">
        <v>171</v>
      </c>
    </row>
    <row r="88" customFormat="false" ht="15" hidden="false" customHeight="false" outlineLevel="0" collapsed="false">
      <c r="A88" s="2" t="n">
        <v>87</v>
      </c>
      <c r="B88" s="2" t="s">
        <v>61</v>
      </c>
      <c r="C88" s="2" t="s">
        <v>62</v>
      </c>
      <c r="D88" s="2" t="s">
        <v>62</v>
      </c>
      <c r="E88" s="2" t="s">
        <v>27</v>
      </c>
      <c r="F88" s="2" t="s">
        <v>18</v>
      </c>
      <c r="G88" s="9" t="n">
        <v>60445</v>
      </c>
      <c r="H88" s="9" t="n">
        <v>58313</v>
      </c>
      <c r="I88" s="9" t="n">
        <v>204275</v>
      </c>
      <c r="J88" s="10" t="n">
        <f aca="false">G88-H88</f>
        <v>2132</v>
      </c>
      <c r="K88" s="11" t="n">
        <f aca="false">J88/I88</f>
        <v>0.0104369110268021</v>
      </c>
      <c r="L88" s="11" t="n">
        <f aca="false">I88/N88</f>
        <v>0.644764709410045</v>
      </c>
      <c r="M88" s="4" t="n">
        <f aca="false">INDEX('Lok Sabha seats'!$E:$E,MATCH(D88,'Lok Sabha seats'!$A:$A,0))</f>
        <v>0.0306197663624832</v>
      </c>
      <c r="N88" s="9" t="n">
        <v>316821</v>
      </c>
      <c r="O88" s="15"/>
      <c r="P88" s="10" t="n">
        <f aca="false">IF(O88&lt;&gt;"",O88,ROUND(N88*M88/(1+M88),0))</f>
        <v>9413</v>
      </c>
      <c r="Q88" s="16" t="n">
        <f aca="false">P88/J88</f>
        <v>4.41510318949343</v>
      </c>
      <c r="R88" s="2" t="str">
        <f aca="false">IF(P88&gt;J88,"Yes","No")</f>
        <v>Yes</v>
      </c>
      <c r="S88" s="2" t="str">
        <f aca="false">IF(P88*L88&gt;J88,"Yes","No")</f>
        <v>Yes</v>
      </c>
      <c r="T88" s="2" t="s">
        <v>171</v>
      </c>
    </row>
    <row r="89" customFormat="false" ht="15" hidden="false" customHeight="false" outlineLevel="0" collapsed="false">
      <c r="A89" s="2" t="n">
        <v>88</v>
      </c>
      <c r="B89" s="2" t="s">
        <v>237</v>
      </c>
      <c r="C89" s="2" t="s">
        <v>62</v>
      </c>
      <c r="D89" s="2" t="s">
        <v>106</v>
      </c>
      <c r="E89" s="2" t="s">
        <v>25</v>
      </c>
      <c r="F89" s="2" t="s">
        <v>18</v>
      </c>
      <c r="G89" s="9" t="n">
        <v>72750</v>
      </c>
      <c r="H89" s="9" t="n">
        <v>61777</v>
      </c>
      <c r="I89" s="9" t="n">
        <v>229858</v>
      </c>
      <c r="J89" s="10" t="n">
        <f aca="false">G89-H89</f>
        <v>10973</v>
      </c>
      <c r="K89" s="11" t="n">
        <f aca="false">J89/I89</f>
        <v>0.0477381687824657</v>
      </c>
      <c r="L89" s="11" t="n">
        <f aca="false">I89/N89</f>
        <v>0.762002320570197</v>
      </c>
      <c r="M89" s="4" t="n">
        <f aca="false">INDEX('Lok Sabha seats'!$E:$E,MATCH(D89,'Lok Sabha seats'!$A:$A,0))</f>
        <v>0.0318900660683992</v>
      </c>
      <c r="N89" s="9" t="n">
        <v>301650</v>
      </c>
      <c r="O89" s="15"/>
      <c r="P89" s="10" t="n">
        <f aca="false">IF(O89&lt;&gt;"",O89,ROUND(N89*M89/(1+M89),0))</f>
        <v>9322</v>
      </c>
      <c r="Q89" s="16" t="n">
        <f aca="false">P89/J89</f>
        <v>0.849539779458671</v>
      </c>
      <c r="R89" s="2" t="str">
        <f aca="false">IF(P89&gt;J89,"Yes","No")</f>
        <v>No</v>
      </c>
      <c r="S89" s="2" t="str">
        <f aca="false">IF(P89*L89&gt;J89,"Yes","No")</f>
        <v>No</v>
      </c>
      <c r="T89" s="2" t="s">
        <v>171</v>
      </c>
    </row>
    <row r="90" customFormat="false" ht="15" hidden="false" customHeight="false" outlineLevel="0" collapsed="false">
      <c r="A90" s="2" t="n">
        <v>89</v>
      </c>
      <c r="B90" s="2" t="s">
        <v>238</v>
      </c>
      <c r="C90" s="2" t="s">
        <v>62</v>
      </c>
      <c r="D90" s="2" t="s">
        <v>62</v>
      </c>
      <c r="E90" s="2" t="s">
        <v>17</v>
      </c>
      <c r="F90" s="2" t="s">
        <v>18</v>
      </c>
      <c r="G90" s="9" t="n">
        <v>129192</v>
      </c>
      <c r="H90" s="9" t="n">
        <v>81563</v>
      </c>
      <c r="I90" s="9" t="n">
        <v>232234</v>
      </c>
      <c r="J90" s="10" t="n">
        <f aca="false">G90-H90</f>
        <v>47629</v>
      </c>
      <c r="K90" s="11" t="n">
        <f aca="false">J90/I90</f>
        <v>0.20509055521586</v>
      </c>
      <c r="L90" s="11" t="n">
        <f aca="false">I90/N90</f>
        <v>0.748236810310109</v>
      </c>
      <c r="M90" s="4" t="n">
        <f aca="false">INDEX('Lok Sabha seats'!$E:$E,MATCH(D90,'Lok Sabha seats'!$A:$A,0))</f>
        <v>0.0306197663624832</v>
      </c>
      <c r="N90" s="9" t="n">
        <v>310375</v>
      </c>
      <c r="O90" s="15"/>
      <c r="P90" s="10" t="n">
        <f aca="false">IF(O90&lt;&gt;"",O90,ROUND(N90*M90/(1+M90),0))</f>
        <v>9221</v>
      </c>
      <c r="Q90" s="16" t="n">
        <f aca="false">P90/J90</f>
        <v>0.193600537487665</v>
      </c>
      <c r="R90" s="2" t="str">
        <f aca="false">IF(P90&gt;J90,"Yes","No")</f>
        <v>No</v>
      </c>
      <c r="S90" s="2" t="str">
        <f aca="false">IF(P90*L90&gt;J90,"Yes","No")</f>
        <v>No</v>
      </c>
      <c r="T90" s="2" t="s">
        <v>171</v>
      </c>
    </row>
    <row r="91" customFormat="false" ht="15" hidden="false" customHeight="false" outlineLevel="0" collapsed="false">
      <c r="A91" s="2" t="n">
        <v>90</v>
      </c>
      <c r="B91" s="2" t="s">
        <v>239</v>
      </c>
      <c r="C91" s="2" t="s">
        <v>62</v>
      </c>
      <c r="D91" s="2" t="s">
        <v>62</v>
      </c>
      <c r="E91" s="2" t="s">
        <v>17</v>
      </c>
      <c r="F91" s="2" t="s">
        <v>18</v>
      </c>
      <c r="G91" s="9" t="n">
        <v>107841</v>
      </c>
      <c r="H91" s="9" t="n">
        <v>64842</v>
      </c>
      <c r="I91" s="9" t="n">
        <v>200336</v>
      </c>
      <c r="J91" s="10" t="n">
        <f aca="false">G91-H91</f>
        <v>42999</v>
      </c>
      <c r="K91" s="11" t="n">
        <f aca="false">J91/I91</f>
        <v>0.214634414184171</v>
      </c>
      <c r="L91" s="11" t="n">
        <f aca="false">I91/N91</f>
        <v>0.641615183338298</v>
      </c>
      <c r="M91" s="4" t="n">
        <f aca="false">INDEX('Lok Sabha seats'!$E:$E,MATCH(D91,'Lok Sabha seats'!$A:$A,0))</f>
        <v>0.0306197663624832</v>
      </c>
      <c r="N91" s="9" t="n">
        <v>312237</v>
      </c>
      <c r="O91" s="15"/>
      <c r="P91" s="10" t="n">
        <f aca="false">IF(O91&lt;&gt;"",O91,ROUND(N91*M91/(1+M91),0))</f>
        <v>9277</v>
      </c>
      <c r="Q91" s="16" t="n">
        <f aca="false">P91/J91</f>
        <v>0.215749203469848</v>
      </c>
      <c r="R91" s="2" t="str">
        <f aca="false">IF(P91&gt;J91,"Yes","No")</f>
        <v>No</v>
      </c>
      <c r="S91" s="2" t="str">
        <f aca="false">IF(P91*L91&gt;J91,"Yes","No")</f>
        <v>No</v>
      </c>
      <c r="T91" s="2" t="s">
        <v>171</v>
      </c>
    </row>
    <row r="92" customFormat="false" ht="15" hidden="false" customHeight="false" outlineLevel="0" collapsed="false">
      <c r="A92" s="2" t="n">
        <v>91</v>
      </c>
      <c r="B92" s="2" t="s">
        <v>240</v>
      </c>
      <c r="C92" s="2" t="s">
        <v>62</v>
      </c>
      <c r="D92" s="2" t="s">
        <v>62</v>
      </c>
      <c r="E92" s="2" t="s">
        <v>17</v>
      </c>
      <c r="F92" s="2" t="s">
        <v>18</v>
      </c>
      <c r="G92" s="9" t="n">
        <v>98213</v>
      </c>
      <c r="H92" s="9" t="n">
        <v>60429</v>
      </c>
      <c r="I92" s="9" t="n">
        <v>218543</v>
      </c>
      <c r="J92" s="10" t="n">
        <f aca="false">G92-H92</f>
        <v>37784</v>
      </c>
      <c r="K92" s="11" t="n">
        <f aca="false">J92/I92</f>
        <v>0.172890460916158</v>
      </c>
      <c r="L92" s="11" t="n">
        <f aca="false">I92/N92</f>
        <v>0.711653185364646</v>
      </c>
      <c r="M92" s="4" t="n">
        <f aca="false">INDEX('Lok Sabha seats'!$E:$E,MATCH(D92,'Lok Sabha seats'!$A:$A,0))</f>
        <v>0.0306197663624832</v>
      </c>
      <c r="N92" s="9" t="n">
        <v>307092</v>
      </c>
      <c r="O92" s="15"/>
      <c r="P92" s="10" t="n">
        <f aca="false">IF(O92&lt;&gt;"",O92,ROUND(N92*M92/(1+M92),0))</f>
        <v>9124</v>
      </c>
      <c r="Q92" s="16" t="n">
        <f aca="false">P92/J92</f>
        <v>0.241477874232479</v>
      </c>
      <c r="R92" s="2" t="str">
        <f aca="false">IF(P92&gt;J92,"Yes","No")</f>
        <v>No</v>
      </c>
      <c r="S92" s="2" t="str">
        <f aca="false">IF(P92*L92&gt;J92,"Yes","No")</f>
        <v>No</v>
      </c>
      <c r="T92" s="2" t="s">
        <v>171</v>
      </c>
    </row>
    <row r="93" customFormat="false" ht="15" hidden="false" customHeight="false" outlineLevel="0" collapsed="false">
      <c r="A93" s="2" t="n">
        <v>92</v>
      </c>
      <c r="B93" s="2" t="s">
        <v>241</v>
      </c>
      <c r="C93" s="2" t="s">
        <v>108</v>
      </c>
      <c r="D93" s="2" t="s">
        <v>108</v>
      </c>
      <c r="E93" s="2" t="s">
        <v>25</v>
      </c>
      <c r="F93" s="2" t="s">
        <v>18</v>
      </c>
      <c r="G93" s="9" t="n">
        <v>107655</v>
      </c>
      <c r="H93" s="9" t="n">
        <v>78067</v>
      </c>
      <c r="I93" s="9" t="n">
        <v>242412</v>
      </c>
      <c r="J93" s="10" t="n">
        <f aca="false">G93-H93</f>
        <v>29588</v>
      </c>
      <c r="K93" s="11" t="n">
        <f aca="false">J93/I93</f>
        <v>0.122056663861525</v>
      </c>
      <c r="L93" s="11" t="n">
        <f aca="false">I93/N93</f>
        <v>0.755730830982183</v>
      </c>
      <c r="M93" s="4" t="n">
        <f aca="false">INDEX('Lok Sabha seats'!$E:$E,MATCH(D93,'Lok Sabha seats'!$A:$A,0))</f>
        <v>0.0340616393817797</v>
      </c>
      <c r="N93" s="9" t="n">
        <v>320765</v>
      </c>
      <c r="O93" s="15"/>
      <c r="P93" s="10" t="n">
        <f aca="false">IF(O93&lt;&gt;"",O93,ROUND(N93*M93/(1+M93),0))</f>
        <v>10566</v>
      </c>
      <c r="Q93" s="16" t="n">
        <f aca="false">P93/J93</f>
        <v>0.357104231445181</v>
      </c>
      <c r="R93" s="2" t="str">
        <f aca="false">IF(P93&gt;J93,"Yes","No")</f>
        <v>No</v>
      </c>
      <c r="S93" s="2" t="str">
        <f aca="false">IF(P93*L93&gt;J93,"Yes","No")</f>
        <v>No</v>
      </c>
      <c r="T93" s="2" t="s">
        <v>171</v>
      </c>
    </row>
    <row r="94" customFormat="false" ht="15" hidden="false" customHeight="false" outlineLevel="0" collapsed="false">
      <c r="A94" s="2" t="n">
        <v>93</v>
      </c>
      <c r="B94" s="2" t="s">
        <v>242</v>
      </c>
      <c r="C94" s="2" t="s">
        <v>108</v>
      </c>
      <c r="D94" s="2" t="s">
        <v>108</v>
      </c>
      <c r="E94" s="2" t="s">
        <v>27</v>
      </c>
      <c r="F94" s="2" t="s">
        <v>18</v>
      </c>
      <c r="G94" s="9" t="n">
        <v>122016</v>
      </c>
      <c r="H94" s="9" t="n">
        <v>90933</v>
      </c>
      <c r="I94" s="9" t="n">
        <v>245703</v>
      </c>
      <c r="J94" s="10" t="n">
        <f aca="false">G94-H94</f>
        <v>31083</v>
      </c>
      <c r="K94" s="11" t="n">
        <f aca="false">J94/I94</f>
        <v>0.126506391863347</v>
      </c>
      <c r="L94" s="11" t="n">
        <f aca="false">I94/N94</f>
        <v>0.743009985303279</v>
      </c>
      <c r="M94" s="4" t="n">
        <f aca="false">INDEX('Lok Sabha seats'!$E:$E,MATCH(D94,'Lok Sabha seats'!$A:$A,0))</f>
        <v>0.0340616393817797</v>
      </c>
      <c r="N94" s="9" t="n">
        <v>330686</v>
      </c>
      <c r="O94" s="15"/>
      <c r="P94" s="10" t="n">
        <f aca="false">IF(O94&lt;&gt;"",O94,ROUND(N94*M94/(1+M94),0))</f>
        <v>10893</v>
      </c>
      <c r="Q94" s="16" t="n">
        <f aca="false">P94/J94</f>
        <v>0.350448798378535</v>
      </c>
      <c r="R94" s="2" t="str">
        <f aca="false">IF(P94&gt;J94,"Yes","No")</f>
        <v>No</v>
      </c>
      <c r="S94" s="2" t="str">
        <f aca="false">IF(P94*L94&gt;J94,"Yes","No")</f>
        <v>No</v>
      </c>
      <c r="T94" s="2" t="s">
        <v>171</v>
      </c>
    </row>
    <row r="95" customFormat="false" ht="15" hidden="false" customHeight="false" outlineLevel="0" collapsed="false">
      <c r="A95" s="2" t="n">
        <v>94</v>
      </c>
      <c r="B95" s="2" t="s">
        <v>108</v>
      </c>
      <c r="C95" s="2" t="s">
        <v>108</v>
      </c>
      <c r="D95" s="2" t="s">
        <v>108</v>
      </c>
      <c r="E95" s="2" t="s">
        <v>17</v>
      </c>
      <c r="F95" s="2" t="s">
        <v>18</v>
      </c>
      <c r="G95" s="9" t="n">
        <v>74584</v>
      </c>
      <c r="H95" s="9" t="n">
        <v>63658</v>
      </c>
      <c r="I95" s="9" t="n">
        <v>229843</v>
      </c>
      <c r="J95" s="10" t="n">
        <f aca="false">G95-H95</f>
        <v>10926</v>
      </c>
      <c r="K95" s="11" t="n">
        <f aca="false">J95/I95</f>
        <v>0.047536796856985</v>
      </c>
      <c r="L95" s="11" t="n">
        <f aca="false">I95/N95</f>
        <v>0.689571063834894</v>
      </c>
      <c r="M95" s="4" t="n">
        <f aca="false">INDEX('Lok Sabha seats'!$E:$E,MATCH(D95,'Lok Sabha seats'!$A:$A,0))</f>
        <v>0.0340616393817797</v>
      </c>
      <c r="N95" s="9" t="n">
        <v>333313</v>
      </c>
      <c r="O95" s="15"/>
      <c r="P95" s="10" t="n">
        <f aca="false">IF(O95&lt;&gt;"",O95,ROUND(N95*M95/(1+M95),0))</f>
        <v>10979</v>
      </c>
      <c r="Q95" s="16" t="n">
        <f aca="false">P95/J95</f>
        <v>1.00485081457075</v>
      </c>
      <c r="R95" s="2" t="str">
        <f aca="false">IF(P95&gt;J95,"Yes","No")</f>
        <v>Yes</v>
      </c>
      <c r="S95" s="2" t="str">
        <f aca="false">IF(P95*L95&gt;J95,"Yes","No")</f>
        <v>No</v>
      </c>
      <c r="T95" s="2" t="s">
        <v>171</v>
      </c>
    </row>
    <row r="96" customFormat="false" ht="15" hidden="false" customHeight="false" outlineLevel="0" collapsed="false">
      <c r="A96" s="2" t="n">
        <v>95</v>
      </c>
      <c r="B96" s="2" t="s">
        <v>76</v>
      </c>
      <c r="C96" s="2" t="s">
        <v>58</v>
      </c>
      <c r="D96" s="2" t="s">
        <v>58</v>
      </c>
      <c r="E96" s="2" t="s">
        <v>17</v>
      </c>
      <c r="F96" s="2" t="s">
        <v>18</v>
      </c>
      <c r="G96" s="9" t="n">
        <v>113432</v>
      </c>
      <c r="H96" s="9" t="n">
        <v>108916</v>
      </c>
      <c r="I96" s="9" t="n">
        <v>294476</v>
      </c>
      <c r="J96" s="10" t="n">
        <f aca="false">G96-H96</f>
        <v>4516</v>
      </c>
      <c r="K96" s="11" t="n">
        <f aca="false">J96/I96</f>
        <v>0.0153357149648868</v>
      </c>
      <c r="L96" s="11" t="n">
        <f aca="false">I96/N96</f>
        <v>0.758384111008669</v>
      </c>
      <c r="M96" s="4" t="n">
        <f aca="false">INDEX('Lok Sabha seats'!$E:$E,MATCH(D96,'Lok Sabha seats'!$A:$A,0))</f>
        <v>0.0394431423382143</v>
      </c>
      <c r="N96" s="9" t="n">
        <v>388294</v>
      </c>
      <c r="O96" s="15"/>
      <c r="P96" s="10" t="n">
        <f aca="false">IF(O96&lt;&gt;"",O96,ROUND(N96*M96/(1+M96),0))</f>
        <v>14734</v>
      </c>
      <c r="Q96" s="16" t="n">
        <f aca="false">P96/J96</f>
        <v>3.26262178919398</v>
      </c>
      <c r="R96" s="2" t="str">
        <f aca="false">IF(P96&gt;J96,"Yes","No")</f>
        <v>Yes</v>
      </c>
      <c r="S96" s="2" t="str">
        <f aca="false">IF(P96*L96&gt;J96,"Yes","No")</f>
        <v>Yes</v>
      </c>
      <c r="T96" s="2" t="s">
        <v>171</v>
      </c>
    </row>
    <row r="97" customFormat="false" ht="15" hidden="false" customHeight="false" outlineLevel="0" collapsed="false">
      <c r="A97" s="2" t="n">
        <v>96</v>
      </c>
      <c r="B97" s="2" t="s">
        <v>58</v>
      </c>
      <c r="C97" s="2" t="s">
        <v>58</v>
      </c>
      <c r="D97" s="2" t="s">
        <v>58</v>
      </c>
      <c r="E97" s="2" t="s">
        <v>44</v>
      </c>
      <c r="F97" s="2" t="s">
        <v>22</v>
      </c>
      <c r="G97" s="9" t="n">
        <v>126803</v>
      </c>
      <c r="H97" s="9" t="n">
        <v>92587</v>
      </c>
      <c r="I97" s="9" t="n">
        <v>233781</v>
      </c>
      <c r="J97" s="10" t="n">
        <f aca="false">G97-H97</f>
        <v>34216</v>
      </c>
      <c r="K97" s="11" t="n">
        <f aca="false">J97/I97</f>
        <v>0.146359199421681</v>
      </c>
      <c r="L97" s="11" t="n">
        <f aca="false">I97/N97</f>
        <v>0.666880610681797</v>
      </c>
      <c r="M97" s="4" t="n">
        <f aca="false">INDEX('Lok Sabha seats'!$E:$E,MATCH(D97,'Lok Sabha seats'!$A:$A,0))</f>
        <v>0.0394431423382143</v>
      </c>
      <c r="N97" s="9" t="n">
        <v>350559</v>
      </c>
      <c r="O97" s="15"/>
      <c r="P97" s="10" t="n">
        <f aca="false">IF(O97&lt;&gt;"",O97,ROUND(N97*M97/(1+M97),0))</f>
        <v>13302</v>
      </c>
      <c r="Q97" s="16" t="n">
        <f aca="false">P97/J97</f>
        <v>0.38876548982932</v>
      </c>
      <c r="R97" s="2" t="str">
        <f aca="false">IF(P97&gt;J97,"Yes","No")</f>
        <v>No</v>
      </c>
      <c r="S97" s="2" t="str">
        <f aca="false">IF(P97*L97&gt;J97,"Yes","No")</f>
        <v>No</v>
      </c>
      <c r="T97" s="2" t="s">
        <v>171</v>
      </c>
    </row>
    <row r="98" customFormat="false" ht="15" hidden="false" customHeight="false" outlineLevel="0" collapsed="false">
      <c r="A98" s="2" t="n">
        <v>97</v>
      </c>
      <c r="B98" s="2" t="s">
        <v>243</v>
      </c>
      <c r="C98" s="2" t="s">
        <v>58</v>
      </c>
      <c r="D98" s="2" t="s">
        <v>58</v>
      </c>
      <c r="E98" s="2" t="s">
        <v>244</v>
      </c>
      <c r="F98" s="2" t="s">
        <v>13</v>
      </c>
      <c r="G98" s="9" t="n">
        <v>141544</v>
      </c>
      <c r="H98" s="9" t="n">
        <v>115252</v>
      </c>
      <c r="I98" s="9" t="n">
        <v>311291</v>
      </c>
      <c r="J98" s="10" t="n">
        <f aca="false">G98-H98</f>
        <v>26292</v>
      </c>
      <c r="K98" s="11" t="n">
        <f aca="false">J98/I98</f>
        <v>0.0844611633487637</v>
      </c>
      <c r="L98" s="11" t="n">
        <f aca="false">I98/N98</f>
        <v>0.738931141875083</v>
      </c>
      <c r="M98" s="4" t="n">
        <f aca="false">INDEX('Lok Sabha seats'!$E:$E,MATCH(D98,'Lok Sabha seats'!$A:$A,0))</f>
        <v>0.0394431423382143</v>
      </c>
      <c r="N98" s="9" t="n">
        <v>421272</v>
      </c>
      <c r="O98" s="15"/>
      <c r="P98" s="10" t="n">
        <f aca="false">IF(O98&lt;&gt;"",O98,ROUND(N98*M98/(1+M98),0))</f>
        <v>15986</v>
      </c>
      <c r="Q98" s="16" t="n">
        <f aca="false">P98/J98</f>
        <v>0.60801764795375</v>
      </c>
      <c r="R98" s="2" t="str">
        <f aca="false">IF(P98&gt;J98,"Yes","No")</f>
        <v>No</v>
      </c>
      <c r="S98" s="2" t="str">
        <f aca="false">IF(P98*L98&gt;J98,"Yes","No")</f>
        <v>No</v>
      </c>
      <c r="T98" s="2" t="s">
        <v>171</v>
      </c>
    </row>
    <row r="99" customFormat="false" ht="15" hidden="false" customHeight="false" outlineLevel="0" collapsed="false">
      <c r="A99" s="2" t="n">
        <v>98</v>
      </c>
      <c r="B99" s="2" t="s">
        <v>126</v>
      </c>
      <c r="C99" s="2" t="s">
        <v>58</v>
      </c>
      <c r="D99" s="2" t="s">
        <v>58</v>
      </c>
      <c r="E99" s="2" t="s">
        <v>25</v>
      </c>
      <c r="F99" s="2" t="s">
        <v>18</v>
      </c>
      <c r="G99" s="9" t="n">
        <v>83767</v>
      </c>
      <c r="H99" s="9" t="n">
        <v>70523</v>
      </c>
      <c r="I99" s="9" t="n">
        <v>282329</v>
      </c>
      <c r="J99" s="10" t="n">
        <f aca="false">G99-H99</f>
        <v>13244</v>
      </c>
      <c r="K99" s="11" t="n">
        <f aca="false">J99/I99</f>
        <v>0.0469098108943821</v>
      </c>
      <c r="L99" s="11" t="n">
        <f aca="false">I99/N99</f>
        <v>0.717948652744861</v>
      </c>
      <c r="M99" s="4" t="n">
        <f aca="false">INDEX('Lok Sabha seats'!$E:$E,MATCH(D99,'Lok Sabha seats'!$A:$A,0))</f>
        <v>0.0394431423382143</v>
      </c>
      <c r="N99" s="9" t="n">
        <v>393244</v>
      </c>
      <c r="O99" s="15"/>
      <c r="P99" s="10" t="n">
        <f aca="false">IF(O99&lt;&gt;"",O99,ROUND(N99*M99/(1+M99),0))</f>
        <v>14922</v>
      </c>
      <c r="Q99" s="16" t="n">
        <f aca="false">P99/J99</f>
        <v>1.12669888251284</v>
      </c>
      <c r="R99" s="2" t="str">
        <f aca="false">IF(P99&gt;J99,"Yes","No")</f>
        <v>Yes</v>
      </c>
      <c r="S99" s="2" t="str">
        <f aca="false">IF(P99*L99&gt;J99,"Yes","No")</f>
        <v>No</v>
      </c>
      <c r="T99" s="2" t="s">
        <v>171</v>
      </c>
    </row>
    <row r="100" customFormat="false" ht="15" hidden="false" customHeight="false" outlineLevel="0" collapsed="false">
      <c r="A100" s="2" t="n">
        <v>99</v>
      </c>
      <c r="B100" s="2" t="s">
        <v>82</v>
      </c>
      <c r="C100" s="2" t="s">
        <v>49</v>
      </c>
      <c r="D100" s="2" t="s">
        <v>58</v>
      </c>
      <c r="E100" s="2" t="s">
        <v>17</v>
      </c>
      <c r="F100" s="2" t="s">
        <v>18</v>
      </c>
      <c r="G100" s="9" t="n">
        <v>70659</v>
      </c>
      <c r="H100" s="9" t="n">
        <v>65919</v>
      </c>
      <c r="I100" s="9" t="n">
        <v>228744</v>
      </c>
      <c r="J100" s="10" t="n">
        <f aca="false">G100-H100</f>
        <v>4740</v>
      </c>
      <c r="K100" s="11" t="n">
        <f aca="false">J100/I100</f>
        <v>0.0207218549994754</v>
      </c>
      <c r="L100" s="11" t="n">
        <f aca="false">I100/N100</f>
        <v>0.707887700534759</v>
      </c>
      <c r="M100" s="4" t="n">
        <f aca="false">INDEX('Lok Sabha seats'!$E:$E,MATCH(D100,'Lok Sabha seats'!$A:$A,0))</f>
        <v>0.0394431423382143</v>
      </c>
      <c r="N100" s="9" t="n">
        <v>323136</v>
      </c>
      <c r="O100" s="15"/>
      <c r="P100" s="10" t="n">
        <f aca="false">IF(O100&lt;&gt;"",O100,ROUND(N100*M100/(1+M100),0))</f>
        <v>12262</v>
      </c>
      <c r="Q100" s="16" t="n">
        <f aca="false">P100/J100</f>
        <v>2.58691983122363</v>
      </c>
      <c r="R100" s="2" t="str">
        <f aca="false">IF(P100&gt;J100,"Yes","No")</f>
        <v>Yes</v>
      </c>
      <c r="S100" s="2" t="str">
        <f aca="false">IF(P100*L100&gt;J100,"Yes","No")</f>
        <v>Yes</v>
      </c>
      <c r="T100" s="2" t="s">
        <v>171</v>
      </c>
    </row>
    <row r="101" customFormat="false" ht="15" hidden="false" customHeight="false" outlineLevel="0" collapsed="false">
      <c r="A101" s="2" t="n">
        <v>100</v>
      </c>
      <c r="B101" s="2" t="s">
        <v>57</v>
      </c>
      <c r="C101" s="2" t="s">
        <v>49</v>
      </c>
      <c r="D101" s="2" t="s">
        <v>58</v>
      </c>
      <c r="E101" s="2" t="s">
        <v>27</v>
      </c>
      <c r="F101" s="2" t="s">
        <v>18</v>
      </c>
      <c r="G101" s="9" t="n">
        <v>98496</v>
      </c>
      <c r="H101" s="9" t="n">
        <v>96187</v>
      </c>
      <c r="I101" s="9" t="n">
        <v>256300</v>
      </c>
      <c r="J101" s="10" t="n">
        <f aca="false">G101-H101</f>
        <v>2309</v>
      </c>
      <c r="K101" s="11" t="n">
        <f aca="false">J101/I101</f>
        <v>0.00900897385875927</v>
      </c>
      <c r="L101" s="11" t="n">
        <f aca="false">I101/N101</f>
        <v>0.775982391285261</v>
      </c>
      <c r="M101" s="4" t="n">
        <f aca="false">INDEX('Lok Sabha seats'!$E:$E,MATCH(D101,'Lok Sabha seats'!$A:$A,0))</f>
        <v>0.0394431423382143</v>
      </c>
      <c r="N101" s="9" t="n">
        <v>330291</v>
      </c>
      <c r="O101" s="15"/>
      <c r="P101" s="10" t="n">
        <f aca="false">IF(O101&lt;&gt;"",O101,ROUND(N101*M101/(1+M101),0))</f>
        <v>12533</v>
      </c>
      <c r="Q101" s="16" t="n">
        <f aca="false">P101/J101</f>
        <v>5.42789086184495</v>
      </c>
      <c r="R101" s="2" t="str">
        <f aca="false">IF(P101&gt;J101,"Yes","No")</f>
        <v>Yes</v>
      </c>
      <c r="S101" s="2" t="str">
        <f aca="false">IF(P101*L101&gt;J101,"Yes","No")</f>
        <v>Yes</v>
      </c>
      <c r="T101" s="2" t="s">
        <v>171</v>
      </c>
    </row>
    <row r="102" customFormat="false" ht="15" hidden="false" customHeight="false" outlineLevel="0" collapsed="false">
      <c r="A102" s="2" t="n">
        <v>101</v>
      </c>
      <c r="B102" s="2" t="s">
        <v>49</v>
      </c>
      <c r="C102" s="2" t="s">
        <v>49</v>
      </c>
      <c r="D102" s="2" t="s">
        <v>49</v>
      </c>
      <c r="E102" s="2" t="s">
        <v>27</v>
      </c>
      <c r="F102" s="2" t="s">
        <v>18</v>
      </c>
      <c r="G102" s="9" t="n">
        <v>104665</v>
      </c>
      <c r="H102" s="9" t="n">
        <v>73014</v>
      </c>
      <c r="I102" s="9" t="n">
        <v>223930</v>
      </c>
      <c r="J102" s="10" t="n">
        <f aca="false">G102-H102</f>
        <v>31651</v>
      </c>
      <c r="K102" s="11" t="n">
        <f aca="false">J102/I102</f>
        <v>0.141343276916894</v>
      </c>
      <c r="L102" s="11" t="n">
        <f aca="false">I102/N102</f>
        <v>0.650482785866168</v>
      </c>
      <c r="M102" s="4" t="n">
        <f aca="false">INDEX('Lok Sabha seats'!$E:$E,MATCH(D102,'Lok Sabha seats'!$A:$A,0))</f>
        <v>0.0434804485117205</v>
      </c>
      <c r="N102" s="9" t="n">
        <v>344252</v>
      </c>
      <c r="O102" s="15"/>
      <c r="P102" s="10" t="n">
        <f aca="false">IF(O102&lt;&gt;"",O102,ROUND(N102*M102/(1+M102),0))</f>
        <v>14345</v>
      </c>
      <c r="Q102" s="16" t="n">
        <f aca="false">P102/J102</f>
        <v>0.453224226722694</v>
      </c>
      <c r="R102" s="2" t="str">
        <f aca="false">IF(P102&gt;J102,"Yes","No")</f>
        <v>No</v>
      </c>
      <c r="S102" s="2" t="str">
        <f aca="false">IF(P102*L102&gt;J102,"Yes","No")</f>
        <v>No</v>
      </c>
      <c r="T102" s="2" t="s">
        <v>171</v>
      </c>
    </row>
    <row r="103" customFormat="false" ht="15" hidden="false" customHeight="false" outlineLevel="0" collapsed="false">
      <c r="A103" s="2" t="n">
        <v>102</v>
      </c>
      <c r="B103" s="2" t="s">
        <v>245</v>
      </c>
      <c r="C103" s="2" t="s">
        <v>49</v>
      </c>
      <c r="D103" s="2" t="s">
        <v>49</v>
      </c>
      <c r="E103" s="2" t="s">
        <v>17</v>
      </c>
      <c r="F103" s="2" t="s">
        <v>18</v>
      </c>
      <c r="G103" s="9" t="n">
        <v>138489</v>
      </c>
      <c r="H103" s="9" t="n">
        <v>92958</v>
      </c>
      <c r="I103" s="9" t="n">
        <v>249530</v>
      </c>
      <c r="J103" s="10" t="n">
        <f aca="false">G103-H103</f>
        <v>45531</v>
      </c>
      <c r="K103" s="11" t="n">
        <f aca="false">J103/I103</f>
        <v>0.182467038031499</v>
      </c>
      <c r="L103" s="11" t="n">
        <f aca="false">I103/N103</f>
        <v>0.749121126878957</v>
      </c>
      <c r="M103" s="4" t="n">
        <f aca="false">INDEX('Lok Sabha seats'!$E:$E,MATCH(D103,'Lok Sabha seats'!$A:$A,0))</f>
        <v>0.0434804485117205</v>
      </c>
      <c r="N103" s="9" t="n">
        <v>333097</v>
      </c>
      <c r="O103" s="15"/>
      <c r="P103" s="10" t="n">
        <f aca="false">IF(O103&lt;&gt;"",O103,ROUND(N103*M103/(1+M103),0))</f>
        <v>13880</v>
      </c>
      <c r="Q103" s="16" t="n">
        <f aca="false">P103/J103</f>
        <v>0.304847246930663</v>
      </c>
      <c r="R103" s="2" t="str">
        <f aca="false">IF(P103&gt;J103,"Yes","No")</f>
        <v>No</v>
      </c>
      <c r="S103" s="2" t="str">
        <f aca="false">IF(P103*L103&gt;J103,"Yes","No")</f>
        <v>No</v>
      </c>
      <c r="T103" s="2" t="s">
        <v>171</v>
      </c>
    </row>
    <row r="104" customFormat="false" ht="15" hidden="false" customHeight="false" outlineLevel="0" collapsed="false">
      <c r="A104" s="2" t="n">
        <v>103</v>
      </c>
      <c r="B104" s="2" t="s">
        <v>246</v>
      </c>
      <c r="C104" s="2" t="s">
        <v>49</v>
      </c>
      <c r="D104" s="2" t="s">
        <v>49</v>
      </c>
      <c r="E104" s="2" t="s">
        <v>17</v>
      </c>
      <c r="F104" s="2" t="s">
        <v>18</v>
      </c>
      <c r="G104" s="9" t="n">
        <v>128480</v>
      </c>
      <c r="H104" s="9" t="n">
        <v>105301</v>
      </c>
      <c r="I104" s="9" t="n">
        <v>251036</v>
      </c>
      <c r="J104" s="10" t="n">
        <f aca="false">G104-H104</f>
        <v>23179</v>
      </c>
      <c r="K104" s="11" t="n">
        <f aca="false">J104/I104</f>
        <v>0.0923333705125958</v>
      </c>
      <c r="L104" s="11" t="n">
        <f aca="false">I104/N104</f>
        <v>0.780257043840428</v>
      </c>
      <c r="M104" s="4" t="n">
        <f aca="false">INDEX('Lok Sabha seats'!$E:$E,MATCH(D104,'Lok Sabha seats'!$A:$A,0))</f>
        <v>0.0434804485117205</v>
      </c>
      <c r="N104" s="9" t="n">
        <v>321735</v>
      </c>
      <c r="O104" s="15"/>
      <c r="P104" s="10" t="n">
        <f aca="false">IF(O104&lt;&gt;"",O104,ROUND(N104*M104/(1+M104),0))</f>
        <v>13406</v>
      </c>
      <c r="Q104" s="16" t="n">
        <f aca="false">P104/J104</f>
        <v>0.578368350662237</v>
      </c>
      <c r="R104" s="2" t="str">
        <f aca="false">IF(P104&gt;J104,"Yes","No")</f>
        <v>No</v>
      </c>
      <c r="S104" s="2" t="str">
        <f aca="false">IF(P104*L104&gt;J104,"Yes","No")</f>
        <v>No</v>
      </c>
      <c r="T104" s="2" t="s">
        <v>171</v>
      </c>
    </row>
    <row r="105" customFormat="false" ht="15" hidden="false" customHeight="false" outlineLevel="0" collapsed="false">
      <c r="A105" s="2" t="n">
        <v>104</v>
      </c>
      <c r="B105" s="2" t="s">
        <v>48</v>
      </c>
      <c r="C105" s="2" t="s">
        <v>41</v>
      </c>
      <c r="D105" s="2" t="s">
        <v>49</v>
      </c>
      <c r="E105" s="2" t="s">
        <v>27</v>
      </c>
      <c r="F105" s="2" t="s">
        <v>18</v>
      </c>
      <c r="G105" s="9" t="n">
        <v>137960</v>
      </c>
      <c r="H105" s="9" t="n">
        <v>135540</v>
      </c>
      <c r="I105" s="9" t="n">
        <v>289285</v>
      </c>
      <c r="J105" s="10" t="n">
        <f aca="false">G105-H105</f>
        <v>2420</v>
      </c>
      <c r="K105" s="11" t="n">
        <f aca="false">J105/I105</f>
        <v>0.00836545275420433</v>
      </c>
      <c r="L105" s="11" t="n">
        <f aca="false">I105/N105</f>
        <v>0.808092517842926</v>
      </c>
      <c r="M105" s="4" t="n">
        <f aca="false">INDEX('Lok Sabha seats'!$E:$E,MATCH(D105,'Lok Sabha seats'!$A:$A,0))</f>
        <v>0.0434804485117205</v>
      </c>
      <c r="N105" s="9" t="n">
        <v>357985</v>
      </c>
      <c r="O105" s="15"/>
      <c r="P105" s="10" t="n">
        <f aca="false">IF(O105&lt;&gt;"",O105,ROUND(N105*M105/(1+M105),0))</f>
        <v>14917</v>
      </c>
      <c r="Q105" s="16" t="n">
        <f aca="false">P105/J105</f>
        <v>6.16404958677686</v>
      </c>
      <c r="R105" s="2" t="str">
        <f aca="false">IF(P105&gt;J105,"Yes","No")</f>
        <v>Yes</v>
      </c>
      <c r="S105" s="2" t="str">
        <f aca="false">IF(P105*L105&gt;J105,"Yes","No")</f>
        <v>Yes</v>
      </c>
      <c r="T105" s="2" t="s">
        <v>171</v>
      </c>
    </row>
    <row r="106" customFormat="false" ht="15" hidden="false" customHeight="false" outlineLevel="0" collapsed="false">
      <c r="A106" s="2" t="n">
        <v>105</v>
      </c>
      <c r="B106" s="2" t="s">
        <v>247</v>
      </c>
      <c r="C106" s="2" t="s">
        <v>41</v>
      </c>
      <c r="D106" s="2" t="s">
        <v>41</v>
      </c>
      <c r="E106" s="2" t="s">
        <v>27</v>
      </c>
      <c r="F106" s="2" t="s">
        <v>18</v>
      </c>
      <c r="G106" s="9" t="n">
        <v>84492</v>
      </c>
      <c r="H106" s="9" t="n">
        <v>66291</v>
      </c>
      <c r="I106" s="9" t="n">
        <v>232312</v>
      </c>
      <c r="J106" s="10" t="n">
        <f aca="false">G106-H106</f>
        <v>18201</v>
      </c>
      <c r="K106" s="11" t="n">
        <f aca="false">J106/I106</f>
        <v>0.0783472227005062</v>
      </c>
      <c r="L106" s="11" t="n">
        <f aca="false">I106/N106</f>
        <v>0.698182954757196</v>
      </c>
      <c r="M106" s="4" t="n">
        <f aca="false">INDEX('Lok Sabha seats'!$E:$E,MATCH(D106,'Lok Sabha seats'!$A:$A,0))</f>
        <v>0.0432099664515878</v>
      </c>
      <c r="N106" s="9" t="n">
        <v>332738</v>
      </c>
      <c r="O106" s="15"/>
      <c r="P106" s="10" t="n">
        <f aca="false">IF(O106&lt;&gt;"",O106,ROUND(N106*M106/(1+M106),0))</f>
        <v>13782</v>
      </c>
      <c r="Q106" s="16" t="n">
        <f aca="false">P106/J106</f>
        <v>0.757211142244932</v>
      </c>
      <c r="R106" s="2" t="str">
        <f aca="false">IF(P106&gt;J106,"Yes","No")</f>
        <v>No</v>
      </c>
      <c r="S106" s="2" t="str">
        <f aca="false">IF(P106*L106&gt;J106,"Yes","No")</f>
        <v>No</v>
      </c>
      <c r="T106" s="2" t="s">
        <v>171</v>
      </c>
    </row>
    <row r="107" customFormat="false" ht="15" hidden="false" customHeight="false" outlineLevel="0" collapsed="false">
      <c r="A107" s="2" t="n">
        <v>106</v>
      </c>
      <c r="B107" s="2" t="s">
        <v>248</v>
      </c>
      <c r="C107" s="2" t="s">
        <v>41</v>
      </c>
      <c r="D107" s="2" t="s">
        <v>49</v>
      </c>
      <c r="E107" s="2" t="s">
        <v>17</v>
      </c>
      <c r="F107" s="2" t="s">
        <v>18</v>
      </c>
      <c r="G107" s="9" t="n">
        <v>135046</v>
      </c>
      <c r="H107" s="9" t="n">
        <v>102545</v>
      </c>
      <c r="I107" s="9" t="n">
        <v>269661</v>
      </c>
      <c r="J107" s="10" t="n">
        <f aca="false">G107-H107</f>
        <v>32501</v>
      </c>
      <c r="K107" s="11" t="n">
        <f aca="false">J107/I107</f>
        <v>0.120525400410145</v>
      </c>
      <c r="L107" s="11" t="n">
        <f aca="false">I107/N107</f>
        <v>0.72743139386517</v>
      </c>
      <c r="M107" s="4" t="n">
        <f aca="false">INDEX('Lok Sabha seats'!$E:$E,MATCH(D107,'Lok Sabha seats'!$A:$A,0))</f>
        <v>0.0434804485117205</v>
      </c>
      <c r="N107" s="9" t="n">
        <v>370703</v>
      </c>
      <c r="O107" s="15"/>
      <c r="P107" s="10" t="n">
        <f aca="false">IF(O107&lt;&gt;"",O107,ROUND(N107*M107/(1+M107),0))</f>
        <v>15447</v>
      </c>
      <c r="Q107" s="16" t="n">
        <f aca="false">P107/J107</f>
        <v>0.475277683763577</v>
      </c>
      <c r="R107" s="2" t="str">
        <f aca="false">IF(P107&gt;J107,"Yes","No")</f>
        <v>No</v>
      </c>
      <c r="S107" s="2" t="str">
        <f aca="false">IF(P107*L107&gt;J107,"Yes","No")</f>
        <v>No</v>
      </c>
      <c r="T107" s="2" t="s">
        <v>171</v>
      </c>
    </row>
    <row r="108" customFormat="false" ht="15" hidden="false" customHeight="false" outlineLevel="0" collapsed="false">
      <c r="A108" s="2" t="n">
        <v>107</v>
      </c>
      <c r="B108" s="2" t="s">
        <v>100</v>
      </c>
      <c r="C108" s="2" t="s">
        <v>41</v>
      </c>
      <c r="D108" s="2" t="s">
        <v>41</v>
      </c>
      <c r="E108" s="2" t="s">
        <v>27</v>
      </c>
      <c r="F108" s="2" t="s">
        <v>18</v>
      </c>
      <c r="G108" s="9" t="n">
        <v>85459</v>
      </c>
      <c r="H108" s="9" t="n">
        <v>77340</v>
      </c>
      <c r="I108" s="9" t="n">
        <v>221569</v>
      </c>
      <c r="J108" s="10" t="n">
        <f aca="false">G108-H108</f>
        <v>8119</v>
      </c>
      <c r="K108" s="11" t="n">
        <f aca="false">J108/I108</f>
        <v>0.0366432127238016</v>
      </c>
      <c r="L108" s="11" t="n">
        <f aca="false">I108/N108</f>
        <v>0.600506816272326</v>
      </c>
      <c r="M108" s="4" t="n">
        <f aca="false">INDEX('Lok Sabha seats'!$E:$E,MATCH(D108,'Lok Sabha seats'!$A:$A,0))</f>
        <v>0.0432099664515878</v>
      </c>
      <c r="N108" s="9" t="n">
        <v>368970</v>
      </c>
      <c r="O108" s="15"/>
      <c r="P108" s="10" t="n">
        <f aca="false">IF(O108&lt;&gt;"",O108,ROUND(N108*M108/(1+M108),0))</f>
        <v>15283</v>
      </c>
      <c r="Q108" s="16" t="n">
        <f aca="false">P108/J108</f>
        <v>1.88237467668432</v>
      </c>
      <c r="R108" s="2" t="str">
        <f aca="false">IF(P108&gt;J108,"Yes","No")</f>
        <v>Yes</v>
      </c>
      <c r="S108" s="2" t="str">
        <f aca="false">IF(P108*L108&gt;J108,"Yes","No")</f>
        <v>Yes</v>
      </c>
      <c r="T108" s="2" t="s">
        <v>171</v>
      </c>
    </row>
    <row r="109" customFormat="false" ht="15" hidden="false" customHeight="false" outlineLevel="0" collapsed="false">
      <c r="A109" s="2" t="n">
        <v>108</v>
      </c>
      <c r="B109" s="2" t="s">
        <v>131</v>
      </c>
      <c r="C109" s="2" t="s">
        <v>41</v>
      </c>
      <c r="D109" s="2" t="s">
        <v>41</v>
      </c>
      <c r="E109" s="2" t="s">
        <v>27</v>
      </c>
      <c r="F109" s="2" t="s">
        <v>18</v>
      </c>
      <c r="G109" s="9" t="n">
        <v>122498</v>
      </c>
      <c r="H109" s="9" t="n">
        <v>106147</v>
      </c>
      <c r="I109" s="9" t="n">
        <v>248575</v>
      </c>
      <c r="J109" s="10" t="n">
        <f aca="false">G109-H109</f>
        <v>16351</v>
      </c>
      <c r="K109" s="11" t="n">
        <f aca="false">J109/I109</f>
        <v>0.0657789399577592</v>
      </c>
      <c r="L109" s="11" t="n">
        <f aca="false">I109/N109</f>
        <v>0.610603860996274</v>
      </c>
      <c r="M109" s="4" t="n">
        <f aca="false">INDEX('Lok Sabha seats'!$E:$E,MATCH(D109,'Lok Sabha seats'!$A:$A,0))</f>
        <v>0.0432099664515878</v>
      </c>
      <c r="N109" s="9" t="n">
        <v>407097</v>
      </c>
      <c r="O109" s="15"/>
      <c r="P109" s="10" t="n">
        <f aca="false">IF(O109&lt;&gt;"",O109,ROUND(N109*M109/(1+M109),0))</f>
        <v>16862</v>
      </c>
      <c r="Q109" s="16" t="n">
        <f aca="false">P109/J109</f>
        <v>1.03125191119809</v>
      </c>
      <c r="R109" s="2" t="str">
        <f aca="false">IF(P109&gt;J109,"Yes","No")</f>
        <v>Yes</v>
      </c>
      <c r="S109" s="2" t="str">
        <f aca="false">IF(P109*L109&gt;J109,"Yes","No")</f>
        <v>No</v>
      </c>
      <c r="T109" s="2" t="s">
        <v>171</v>
      </c>
    </row>
    <row r="110" customFormat="false" ht="15" hidden="false" customHeight="false" outlineLevel="0" collapsed="false">
      <c r="A110" s="2" t="n">
        <v>109</v>
      </c>
      <c r="B110" s="2" t="s">
        <v>40</v>
      </c>
      <c r="C110" s="2" t="s">
        <v>41</v>
      </c>
      <c r="D110" s="2" t="s">
        <v>41</v>
      </c>
      <c r="E110" s="2" t="s">
        <v>17</v>
      </c>
      <c r="F110" s="2" t="s">
        <v>18</v>
      </c>
      <c r="G110" s="9" t="n">
        <v>93274</v>
      </c>
      <c r="H110" s="9" t="n">
        <v>91113</v>
      </c>
      <c r="I110" s="9" t="n">
        <v>216564</v>
      </c>
      <c r="J110" s="10" t="n">
        <f aca="false">G110-H110</f>
        <v>2161</v>
      </c>
      <c r="K110" s="11" t="n">
        <f aca="false">J110/I110</f>
        <v>0.0099785744629763</v>
      </c>
      <c r="L110" s="11" t="n">
        <f aca="false">I110/N110</f>
        <v>0.610670749761021</v>
      </c>
      <c r="M110" s="4" t="n">
        <f aca="false">INDEX('Lok Sabha seats'!$E:$E,MATCH(D110,'Lok Sabha seats'!$A:$A,0))</f>
        <v>0.0432099664515878</v>
      </c>
      <c r="N110" s="9" t="n">
        <v>354633</v>
      </c>
      <c r="O110" s="15"/>
      <c r="P110" s="10" t="n">
        <f aca="false">IF(O110&lt;&gt;"",O110,ROUND(N110*M110/(1+M110),0))</f>
        <v>14689</v>
      </c>
      <c r="Q110" s="16" t="n">
        <f aca="false">P110/J110</f>
        <v>6.79731605738084</v>
      </c>
      <c r="R110" s="2" t="str">
        <f aca="false">IF(P110&gt;J110,"Yes","No")</f>
        <v>Yes</v>
      </c>
      <c r="S110" s="2" t="str">
        <f aca="false">IF(P110*L110&gt;J110,"Yes","No")</f>
        <v>Yes</v>
      </c>
      <c r="T110" s="2" t="s">
        <v>171</v>
      </c>
    </row>
    <row r="111" customFormat="false" ht="15" hidden="false" customHeight="false" outlineLevel="0" collapsed="false">
      <c r="A111" s="2" t="n">
        <v>110</v>
      </c>
      <c r="B111" s="2" t="s">
        <v>249</v>
      </c>
      <c r="C111" s="2" t="s">
        <v>41</v>
      </c>
      <c r="D111" s="2" t="s">
        <v>49</v>
      </c>
      <c r="E111" s="2" t="s">
        <v>27</v>
      </c>
      <c r="F111" s="2" t="s">
        <v>18</v>
      </c>
      <c r="G111" s="9" t="n">
        <v>132474</v>
      </c>
      <c r="H111" s="9" t="n">
        <v>103282</v>
      </c>
      <c r="I111" s="9" t="n">
        <v>254709</v>
      </c>
      <c r="J111" s="10" t="n">
        <f aca="false">G111-H111</f>
        <v>29192</v>
      </c>
      <c r="K111" s="11" t="n">
        <f aca="false">J111/I111</f>
        <v>0.114609220718545</v>
      </c>
      <c r="L111" s="11" t="n">
        <f aca="false">I111/N111</f>
        <v>0.782869683082683</v>
      </c>
      <c r="M111" s="4" t="n">
        <f aca="false">INDEX('Lok Sabha seats'!$E:$E,MATCH(D111,'Lok Sabha seats'!$A:$A,0))</f>
        <v>0.0434804485117205</v>
      </c>
      <c r="N111" s="9" t="n">
        <v>325353</v>
      </c>
      <c r="O111" s="15"/>
      <c r="P111" s="10" t="n">
        <f aca="false">IF(O111&lt;&gt;"",O111,ROUND(N111*M111/(1+M111),0))</f>
        <v>13557</v>
      </c>
      <c r="Q111" s="16" t="n">
        <f aca="false">P111/J111</f>
        <v>0.464408057001918</v>
      </c>
      <c r="R111" s="2" t="str">
        <f aca="false">IF(P111&gt;J111,"Yes","No")</f>
        <v>No</v>
      </c>
      <c r="S111" s="2" t="str">
        <f aca="false">IF(P111*L111&gt;J111,"Yes","No")</f>
        <v>No</v>
      </c>
      <c r="T111" s="2" t="s">
        <v>171</v>
      </c>
    </row>
    <row r="112" customFormat="false" ht="15" hidden="false" customHeight="false" outlineLevel="0" collapsed="false">
      <c r="A112" s="2" t="n">
        <v>111</v>
      </c>
      <c r="B112" s="2" t="s">
        <v>81</v>
      </c>
      <c r="C112" s="2" t="s">
        <v>41</v>
      </c>
      <c r="D112" s="2" t="s">
        <v>41</v>
      </c>
      <c r="E112" s="2" t="s">
        <v>17</v>
      </c>
      <c r="F112" s="2" t="s">
        <v>18</v>
      </c>
      <c r="G112" s="9" t="n">
        <v>125555</v>
      </c>
      <c r="H112" s="9" t="n">
        <v>120540</v>
      </c>
      <c r="I112" s="9" t="n">
        <v>269605</v>
      </c>
      <c r="J112" s="10" t="n">
        <f aca="false">G112-H112</f>
        <v>5015</v>
      </c>
      <c r="K112" s="11" t="n">
        <f aca="false">J112/I112</f>
        <v>0.0186012870681182</v>
      </c>
      <c r="L112" s="11" t="n">
        <f aca="false">I112/N112</f>
        <v>0.739109575897141</v>
      </c>
      <c r="M112" s="4" t="n">
        <f aca="false">INDEX('Lok Sabha seats'!$E:$E,MATCH(D112,'Lok Sabha seats'!$A:$A,0))</f>
        <v>0.0432099664515878</v>
      </c>
      <c r="N112" s="9" t="n">
        <v>364770</v>
      </c>
      <c r="O112" s="15"/>
      <c r="P112" s="10" t="n">
        <f aca="false">IF(O112&lt;&gt;"",O112,ROUND(N112*M112/(1+M112),0))</f>
        <v>15109</v>
      </c>
      <c r="Q112" s="16" t="n">
        <f aca="false">P112/J112</f>
        <v>3.01276171485543</v>
      </c>
      <c r="R112" s="2" t="str">
        <f aca="false">IF(P112&gt;J112,"Yes","No")</f>
        <v>Yes</v>
      </c>
      <c r="S112" s="2" t="str">
        <f aca="false">IF(P112*L112&gt;J112,"Yes","No")</f>
        <v>Yes</v>
      </c>
      <c r="T112" s="2" t="s">
        <v>171</v>
      </c>
    </row>
    <row r="113" customFormat="false" ht="15" hidden="false" customHeight="false" outlineLevel="0" collapsed="false">
      <c r="A113" s="2" t="n">
        <v>112</v>
      </c>
      <c r="B113" s="2" t="s">
        <v>250</v>
      </c>
      <c r="C113" s="2" t="s">
        <v>41</v>
      </c>
      <c r="D113" s="2" t="s">
        <v>41</v>
      </c>
      <c r="E113" s="2" t="s">
        <v>27</v>
      </c>
      <c r="F113" s="2" t="s">
        <v>18</v>
      </c>
      <c r="G113" s="9" t="n">
        <v>133627</v>
      </c>
      <c r="H113" s="9" t="n">
        <v>91969</v>
      </c>
      <c r="I113" s="9" t="n">
        <v>244918</v>
      </c>
      <c r="J113" s="10" t="n">
        <f aca="false">G113-H113</f>
        <v>41658</v>
      </c>
      <c r="K113" s="11" t="n">
        <f aca="false">J113/I113</f>
        <v>0.170089581002621</v>
      </c>
      <c r="L113" s="11" t="n">
        <f aca="false">I113/N113</f>
        <v>0.764169958377795</v>
      </c>
      <c r="M113" s="4" t="n">
        <f aca="false">INDEX('Lok Sabha seats'!$E:$E,MATCH(D113,'Lok Sabha seats'!$A:$A,0))</f>
        <v>0.0432099664515878</v>
      </c>
      <c r="N113" s="9" t="n">
        <v>320502</v>
      </c>
      <c r="O113" s="15"/>
      <c r="P113" s="10" t="n">
        <f aca="false">IF(O113&lt;&gt;"",O113,ROUND(N113*M113/(1+M113),0))</f>
        <v>13275</v>
      </c>
      <c r="Q113" s="16" t="n">
        <f aca="false">P113/J113</f>
        <v>0.318666282586778</v>
      </c>
      <c r="R113" s="2" t="str">
        <f aca="false">IF(P113&gt;J113,"Yes","No")</f>
        <v>No</v>
      </c>
      <c r="S113" s="2" t="str">
        <f aca="false">IF(P113*L113&gt;J113,"Yes","No")</f>
        <v>No</v>
      </c>
      <c r="T113" s="2" t="s">
        <v>171</v>
      </c>
    </row>
    <row r="114" customFormat="false" ht="15" hidden="false" customHeight="false" outlineLevel="0" collapsed="false">
      <c r="A114" s="2" t="n">
        <v>113</v>
      </c>
      <c r="B114" s="2" t="s">
        <v>251</v>
      </c>
      <c r="C114" s="2" t="s">
        <v>152</v>
      </c>
      <c r="D114" s="2" t="s">
        <v>130</v>
      </c>
      <c r="E114" s="2" t="s">
        <v>27</v>
      </c>
      <c r="F114" s="2" t="s">
        <v>18</v>
      </c>
      <c r="G114" s="9" t="n">
        <v>138068</v>
      </c>
      <c r="H114" s="9" t="n">
        <v>48194</v>
      </c>
      <c r="I114" s="9" t="n">
        <v>244455</v>
      </c>
      <c r="J114" s="10" t="n">
        <f aca="false">G114-H114</f>
        <v>89874</v>
      </c>
      <c r="K114" s="11" t="n">
        <f aca="false">J114/I114</f>
        <v>0.367650487819844</v>
      </c>
      <c r="L114" s="11" t="n">
        <f aca="false">I114/N114</f>
        <v>0.712580453337065</v>
      </c>
      <c r="M114" s="4" t="n">
        <f aca="false">INDEX('Lok Sabha seats'!$E:$E,MATCH(D114,'Lok Sabha seats'!$A:$A,0))</f>
        <v>0.0297293549593258</v>
      </c>
      <c r="N114" s="9" t="n">
        <v>343056</v>
      </c>
      <c r="O114" s="15"/>
      <c r="P114" s="10" t="n">
        <f aca="false">IF(O114&lt;&gt;"",O114,ROUND(N114*M114/(1+M114),0))</f>
        <v>9904</v>
      </c>
      <c r="Q114" s="16" t="n">
        <f aca="false">P114/J114</f>
        <v>0.110198722656163</v>
      </c>
      <c r="R114" s="2" t="str">
        <f aca="false">IF(P114&gt;J114,"Yes","No")</f>
        <v>No</v>
      </c>
      <c r="S114" s="2" t="str">
        <f aca="false">IF(P114*L114&gt;J114,"Yes","No")</f>
        <v>No</v>
      </c>
      <c r="T114" s="2" t="s">
        <v>171</v>
      </c>
    </row>
    <row r="115" customFormat="false" ht="15" hidden="false" customHeight="false" outlineLevel="0" collapsed="false">
      <c r="A115" s="2" t="n">
        <v>114</v>
      </c>
      <c r="B115" s="2" t="s">
        <v>10</v>
      </c>
      <c r="C115" s="2" t="s">
        <v>152</v>
      </c>
      <c r="D115" s="2" t="s">
        <v>11</v>
      </c>
      <c r="E115" s="2" t="s">
        <v>12</v>
      </c>
      <c r="F115" s="2" t="s">
        <v>13</v>
      </c>
      <c r="G115" s="9" t="n">
        <v>109653</v>
      </c>
      <c r="H115" s="9" t="n">
        <v>109491</v>
      </c>
      <c r="I115" s="9" t="n">
        <v>240151</v>
      </c>
      <c r="J115" s="10" t="n">
        <f aca="false">G115-H115</f>
        <v>162</v>
      </c>
      <c r="K115" s="11" t="n">
        <f aca="false">J115/I115</f>
        <v>0.000674575579531212</v>
      </c>
      <c r="L115" s="11" t="n">
        <f aca="false">I115/N115</f>
        <v>0.700735017346876</v>
      </c>
      <c r="M115" s="4" t="n">
        <f aca="false">INDEX('Lok Sabha seats'!$E:$E,MATCH(D115,'Lok Sabha seats'!$A:$A,0))</f>
        <v>0.0570056986411389</v>
      </c>
      <c r="N115" s="9" t="n">
        <v>342713</v>
      </c>
      <c r="O115" s="15"/>
      <c r="P115" s="10" t="n">
        <f aca="false">IF(O115&lt;&gt;"",O115,ROUND(N115*M115/(1+M115),0))</f>
        <v>18483</v>
      </c>
      <c r="Q115" s="16" t="n">
        <f aca="false">P115/J115</f>
        <v>114.092592592593</v>
      </c>
      <c r="R115" s="2" t="str">
        <f aca="false">IF(P115&gt;J115,"Yes","No")</f>
        <v>Yes</v>
      </c>
      <c r="S115" s="2" t="str">
        <f aca="false">IF(P115*L115&gt;J115,"Yes","No")</f>
        <v>Yes</v>
      </c>
      <c r="T115" s="2" t="s">
        <v>171</v>
      </c>
    </row>
    <row r="116" customFormat="false" ht="15" hidden="false" customHeight="false" outlineLevel="0" collapsed="false">
      <c r="A116" s="2" t="n">
        <v>115</v>
      </c>
      <c r="B116" s="2" t="s">
        <v>252</v>
      </c>
      <c r="C116" s="2" t="s">
        <v>152</v>
      </c>
      <c r="D116" s="2" t="s">
        <v>11</v>
      </c>
      <c r="E116" s="2" t="s">
        <v>27</v>
      </c>
      <c r="F116" s="2" t="s">
        <v>18</v>
      </c>
      <c r="G116" s="9" t="n">
        <v>158284</v>
      </c>
      <c r="H116" s="9" t="n">
        <v>51678</v>
      </c>
      <c r="I116" s="9" t="n">
        <v>258930</v>
      </c>
      <c r="J116" s="10" t="n">
        <f aca="false">G116-H116</f>
        <v>106606</v>
      </c>
      <c r="K116" s="11" t="n">
        <f aca="false">J116/I116</f>
        <v>0.411717452593365</v>
      </c>
      <c r="L116" s="11" t="n">
        <f aca="false">I116/N116</f>
        <v>0.680363449087699</v>
      </c>
      <c r="M116" s="4" t="n">
        <f aca="false">INDEX('Lok Sabha seats'!$E:$E,MATCH(D116,'Lok Sabha seats'!$A:$A,0))</f>
        <v>0.0570056986411389</v>
      </c>
      <c r="N116" s="9" t="n">
        <v>380576</v>
      </c>
      <c r="O116" s="15"/>
      <c r="P116" s="10" t="n">
        <f aca="false">IF(O116&lt;&gt;"",O116,ROUND(N116*M116/(1+M116),0))</f>
        <v>20525</v>
      </c>
      <c r="Q116" s="16" t="n">
        <f aca="false">P116/J116</f>
        <v>0.192531377220794</v>
      </c>
      <c r="R116" s="2" t="str">
        <f aca="false">IF(P116&gt;J116,"Yes","No")</f>
        <v>No</v>
      </c>
      <c r="S116" s="2" t="str">
        <f aca="false">IF(P116*L116&gt;J116,"Yes","No")</f>
        <v>No</v>
      </c>
      <c r="T116" s="2" t="s">
        <v>171</v>
      </c>
    </row>
    <row r="117" customFormat="false" ht="15" hidden="false" customHeight="false" outlineLevel="0" collapsed="false">
      <c r="A117" s="2" t="n">
        <v>116</v>
      </c>
      <c r="B117" s="2" t="s">
        <v>253</v>
      </c>
      <c r="C117" s="2" t="s">
        <v>152</v>
      </c>
      <c r="D117" s="2" t="s">
        <v>11</v>
      </c>
      <c r="E117" s="2" t="s">
        <v>17</v>
      </c>
      <c r="F117" s="2" t="s">
        <v>18</v>
      </c>
      <c r="G117" s="9" t="n">
        <v>159681</v>
      </c>
      <c r="H117" s="9" t="n">
        <v>30384</v>
      </c>
      <c r="I117" s="9" t="n">
        <v>205483</v>
      </c>
      <c r="J117" s="10" t="n">
        <f aca="false">G117-H117</f>
        <v>129297</v>
      </c>
      <c r="K117" s="11" t="n">
        <f aca="false">J117/I117</f>
        <v>0.629234535217025</v>
      </c>
      <c r="L117" s="11" t="n">
        <f aca="false">I117/N117</f>
        <v>0.68696300456676</v>
      </c>
      <c r="M117" s="4" t="n">
        <f aca="false">INDEX('Lok Sabha seats'!$E:$E,MATCH(D117,'Lok Sabha seats'!$A:$A,0))</f>
        <v>0.0570056986411389</v>
      </c>
      <c r="N117" s="9" t="n">
        <v>299118</v>
      </c>
      <c r="O117" s="15"/>
      <c r="P117" s="10" t="n">
        <f aca="false">IF(O117&lt;&gt;"",O117,ROUND(N117*M117/(1+M117),0))</f>
        <v>16132</v>
      </c>
      <c r="Q117" s="16" t="n">
        <f aca="false">P117/J117</f>
        <v>0.124767009288692</v>
      </c>
      <c r="R117" s="2" t="str">
        <f aca="false">IF(P117&gt;J117,"Yes","No")</f>
        <v>No</v>
      </c>
      <c r="S117" s="2" t="str">
        <f aca="false">IF(P117*L117&gt;J117,"Yes","No")</f>
        <v>No</v>
      </c>
      <c r="T117" s="2" t="s">
        <v>171</v>
      </c>
    </row>
    <row r="118" customFormat="false" ht="15" hidden="false" customHeight="false" outlineLevel="0" collapsed="false">
      <c r="A118" s="2" t="n">
        <v>117</v>
      </c>
      <c r="B118" s="2" t="s">
        <v>129</v>
      </c>
      <c r="C118" s="2" t="s">
        <v>152</v>
      </c>
      <c r="D118" s="2" t="s">
        <v>130</v>
      </c>
      <c r="E118" s="2" t="s">
        <v>25</v>
      </c>
      <c r="F118" s="2" t="s">
        <v>18</v>
      </c>
      <c r="G118" s="9" t="n">
        <v>119191</v>
      </c>
      <c r="H118" s="9" t="n">
        <v>110759</v>
      </c>
      <c r="I118" s="9" t="n">
        <v>238668</v>
      </c>
      <c r="J118" s="10" t="n">
        <f aca="false">G118-H118</f>
        <v>8432</v>
      </c>
      <c r="K118" s="11" t="n">
        <f aca="false">J118/I118</f>
        <v>0.0353294115675331</v>
      </c>
      <c r="L118" s="11" t="n">
        <f aca="false">I118/N118</f>
        <v>0.790301858302759</v>
      </c>
      <c r="M118" s="4" t="n">
        <f aca="false">INDEX('Lok Sabha seats'!$E:$E,MATCH(D118,'Lok Sabha seats'!$A:$A,0))</f>
        <v>0.0297293549593258</v>
      </c>
      <c r="N118" s="9" t="n">
        <v>301996</v>
      </c>
      <c r="O118" s="15"/>
      <c r="P118" s="10" t="n">
        <f aca="false">IF(O118&lt;&gt;"",O118,ROUND(N118*M118/(1+M118),0))</f>
        <v>8719</v>
      </c>
      <c r="Q118" s="16" t="n">
        <f aca="false">P118/J118</f>
        <v>1.03403700189753</v>
      </c>
      <c r="R118" s="2" t="str">
        <f aca="false">IF(P118&gt;J118,"Yes","No")</f>
        <v>Yes</v>
      </c>
      <c r="S118" s="2" t="str">
        <f aca="false">IF(P118*L118&gt;J118,"Yes","No")</f>
        <v>No</v>
      </c>
      <c r="T118" s="2" t="s">
        <v>171</v>
      </c>
    </row>
    <row r="119" customFormat="false" ht="15" hidden="false" customHeight="false" outlineLevel="0" collapsed="false">
      <c r="A119" s="2" t="n">
        <v>118</v>
      </c>
      <c r="B119" s="2" t="s">
        <v>254</v>
      </c>
      <c r="C119" s="2" t="s">
        <v>152</v>
      </c>
      <c r="D119" s="2" t="s">
        <v>130</v>
      </c>
      <c r="E119" s="2" t="s">
        <v>17</v>
      </c>
      <c r="F119" s="2" t="s">
        <v>18</v>
      </c>
      <c r="G119" s="9" t="n">
        <v>104826</v>
      </c>
      <c r="H119" s="9" t="n">
        <v>55865</v>
      </c>
      <c r="I119" s="9" t="n">
        <v>239438</v>
      </c>
      <c r="J119" s="10" t="n">
        <f aca="false">G119-H119</f>
        <v>48961</v>
      </c>
      <c r="K119" s="11" t="n">
        <f aca="false">J119/I119</f>
        <v>0.204482997686249</v>
      </c>
      <c r="L119" s="11" t="n">
        <f aca="false">I119/N119</f>
        <v>0.775362037252921</v>
      </c>
      <c r="M119" s="4" t="n">
        <f aca="false">INDEX('Lok Sabha seats'!$E:$E,MATCH(D119,'Lok Sabha seats'!$A:$A,0))</f>
        <v>0.0297293549593258</v>
      </c>
      <c r="N119" s="9" t="n">
        <v>308808</v>
      </c>
      <c r="O119" s="15"/>
      <c r="P119" s="10" t="n">
        <f aca="false">IF(O119&lt;&gt;"",O119,ROUND(N119*M119/(1+M119),0))</f>
        <v>8916</v>
      </c>
      <c r="Q119" s="16" t="n">
        <f aca="false">P119/J119</f>
        <v>0.182104123690284</v>
      </c>
      <c r="R119" s="2" t="str">
        <f aca="false">IF(P119&gt;J119,"Yes","No")</f>
        <v>No</v>
      </c>
      <c r="S119" s="2" t="str">
        <f aca="false">IF(P119*L119&gt;J119,"Yes","No")</f>
        <v>No</v>
      </c>
      <c r="T119" s="2" t="s">
        <v>171</v>
      </c>
    </row>
    <row r="120" customFormat="false" ht="15" hidden="false" customHeight="false" outlineLevel="0" collapsed="false">
      <c r="A120" s="2" t="n">
        <v>119</v>
      </c>
      <c r="B120" s="2" t="s">
        <v>255</v>
      </c>
      <c r="C120" s="2" t="s">
        <v>152</v>
      </c>
      <c r="D120" s="2" t="s">
        <v>130</v>
      </c>
      <c r="E120" s="2" t="s">
        <v>25</v>
      </c>
      <c r="F120" s="2" t="s">
        <v>18</v>
      </c>
      <c r="G120" s="9" t="n">
        <v>135023</v>
      </c>
      <c r="H120" s="9" t="n">
        <v>108623</v>
      </c>
      <c r="I120" s="9" t="n">
        <v>250739</v>
      </c>
      <c r="J120" s="10" t="n">
        <f aca="false">G120-H120</f>
        <v>26400</v>
      </c>
      <c r="K120" s="11" t="n">
        <f aca="false">J120/I120</f>
        <v>0.105288766406502</v>
      </c>
      <c r="L120" s="11" t="n">
        <f aca="false">I120/N120</f>
        <v>0.767670984590797</v>
      </c>
      <c r="M120" s="4" t="n">
        <f aca="false">INDEX('Lok Sabha seats'!$E:$E,MATCH(D120,'Lok Sabha seats'!$A:$A,0))</f>
        <v>0.0297293549593258</v>
      </c>
      <c r="N120" s="9" t="n">
        <v>326623</v>
      </c>
      <c r="O120" s="15"/>
      <c r="P120" s="10" t="n">
        <f aca="false">IF(O120&lt;&gt;"",O120,ROUND(N120*M120/(1+M120),0))</f>
        <v>9430</v>
      </c>
      <c r="Q120" s="16" t="n">
        <f aca="false">P120/J120</f>
        <v>0.35719696969697</v>
      </c>
      <c r="R120" s="2" t="str">
        <f aca="false">IF(P120&gt;J120,"Yes","No")</f>
        <v>No</v>
      </c>
      <c r="S120" s="2" t="str">
        <f aca="false">IF(P120*L120&gt;J120,"Yes","No")</f>
        <v>No</v>
      </c>
      <c r="T120" s="2" t="s">
        <v>171</v>
      </c>
    </row>
    <row r="121" customFormat="false" ht="15" hidden="false" customHeight="false" outlineLevel="0" collapsed="false">
      <c r="A121" s="2" t="n">
        <v>120</v>
      </c>
      <c r="B121" s="2" t="s">
        <v>256</v>
      </c>
      <c r="C121" s="2" t="s">
        <v>152</v>
      </c>
      <c r="D121" s="2" t="s">
        <v>152</v>
      </c>
      <c r="E121" s="2" t="s">
        <v>25</v>
      </c>
      <c r="F121" s="2" t="s">
        <v>18</v>
      </c>
      <c r="G121" s="9" t="n">
        <v>138565</v>
      </c>
      <c r="H121" s="9" t="n">
        <v>97681</v>
      </c>
      <c r="I121" s="9" t="n">
        <v>243395</v>
      </c>
      <c r="J121" s="10" t="n">
        <f aca="false">G121-H121</f>
        <v>40884</v>
      </c>
      <c r="K121" s="11" t="n">
        <f aca="false">J121/I121</f>
        <v>0.167973869635777</v>
      </c>
      <c r="L121" s="11" t="n">
        <f aca="false">I121/N121</f>
        <v>0.752463952711894</v>
      </c>
      <c r="M121" s="4" t="n">
        <f aca="false">INDEX('Lok Sabha seats'!$E:$E,MATCH(D121,'Lok Sabha seats'!$A:$A,0))</f>
        <v>0.0493403358612577</v>
      </c>
      <c r="N121" s="9" t="n">
        <v>323464</v>
      </c>
      <c r="O121" s="15"/>
      <c r="P121" s="10" t="n">
        <f aca="false">IF(O121&lt;&gt;"",O121,ROUND(N121*M121/(1+M121),0))</f>
        <v>15209</v>
      </c>
      <c r="Q121" s="16" t="n">
        <f aca="false">P121/J121</f>
        <v>0.372003717835828</v>
      </c>
      <c r="R121" s="2" t="str">
        <f aca="false">IF(P121&gt;J121,"Yes","No")</f>
        <v>No</v>
      </c>
      <c r="S121" s="2" t="str">
        <f aca="false">IF(P121*L121&gt;J121,"Yes","No")</f>
        <v>No</v>
      </c>
      <c r="T121" s="2" t="s">
        <v>171</v>
      </c>
    </row>
    <row r="122" customFormat="false" ht="15" hidden="false" customHeight="false" outlineLevel="0" collapsed="false">
      <c r="A122" s="2" t="n">
        <v>121</v>
      </c>
      <c r="B122" s="2" t="s">
        <v>257</v>
      </c>
      <c r="C122" s="2" t="s">
        <v>152</v>
      </c>
      <c r="D122" s="2" t="s">
        <v>130</v>
      </c>
      <c r="E122" s="2" t="s">
        <v>25</v>
      </c>
      <c r="F122" s="2" t="s">
        <v>18</v>
      </c>
      <c r="G122" s="9" t="n">
        <v>120253</v>
      </c>
      <c r="H122" s="9" t="n">
        <v>91014</v>
      </c>
      <c r="I122" s="9" t="n">
        <v>220284</v>
      </c>
      <c r="J122" s="10" t="n">
        <f aca="false">G122-H122</f>
        <v>29239</v>
      </c>
      <c r="K122" s="11" t="n">
        <f aca="false">J122/I122</f>
        <v>0.132733198961341</v>
      </c>
      <c r="L122" s="11" t="n">
        <f aca="false">I122/N122</f>
        <v>0.737061177509804</v>
      </c>
      <c r="M122" s="4" t="n">
        <f aca="false">INDEX('Lok Sabha seats'!$E:$E,MATCH(D122,'Lok Sabha seats'!$A:$A,0))</f>
        <v>0.0297293549593258</v>
      </c>
      <c r="N122" s="9" t="n">
        <v>298868</v>
      </c>
      <c r="O122" s="15"/>
      <c r="P122" s="10" t="n">
        <f aca="false">IF(O122&lt;&gt;"",O122,ROUND(N122*M122/(1+M122),0))</f>
        <v>8629</v>
      </c>
      <c r="Q122" s="16" t="n">
        <f aca="false">P122/J122</f>
        <v>0.295119532131742</v>
      </c>
      <c r="R122" s="2" t="str">
        <f aca="false">IF(P122&gt;J122,"Yes","No")</f>
        <v>No</v>
      </c>
      <c r="S122" s="2" t="str">
        <f aca="false">IF(P122*L122&gt;J122,"Yes","No")</f>
        <v>No</v>
      </c>
      <c r="T122" s="2" t="s">
        <v>171</v>
      </c>
    </row>
    <row r="123" customFormat="false" ht="15" hidden="false" customHeight="false" outlineLevel="0" collapsed="false">
      <c r="A123" s="2" t="n">
        <v>122</v>
      </c>
      <c r="B123" s="2" t="s">
        <v>258</v>
      </c>
      <c r="C123" s="2" t="s">
        <v>152</v>
      </c>
      <c r="D123" s="2" t="s">
        <v>130</v>
      </c>
      <c r="E123" s="2" t="s">
        <v>25</v>
      </c>
      <c r="F123" s="2" t="s">
        <v>18</v>
      </c>
      <c r="G123" s="9" t="n">
        <v>138622</v>
      </c>
      <c r="H123" s="9" t="n">
        <v>94219</v>
      </c>
      <c r="I123" s="9" t="n">
        <v>258478</v>
      </c>
      <c r="J123" s="10" t="n">
        <f aca="false">G123-H123</f>
        <v>44403</v>
      </c>
      <c r="K123" s="11" t="n">
        <f aca="false">J123/I123</f>
        <v>0.171786380272209</v>
      </c>
      <c r="L123" s="11" t="n">
        <f aca="false">I123/N123</f>
        <v>0.785322784502455</v>
      </c>
      <c r="M123" s="4" t="n">
        <f aca="false">INDEX('Lok Sabha seats'!$E:$E,MATCH(D123,'Lok Sabha seats'!$A:$A,0))</f>
        <v>0.0297293549593258</v>
      </c>
      <c r="N123" s="9" t="n">
        <v>329136</v>
      </c>
      <c r="O123" s="15"/>
      <c r="P123" s="10" t="n">
        <f aca="false">IF(O123&lt;&gt;"",O123,ROUND(N123*M123/(1+M123),0))</f>
        <v>9502</v>
      </c>
      <c r="Q123" s="16" t="n">
        <f aca="false">P123/J123</f>
        <v>0.213994549917798</v>
      </c>
      <c r="R123" s="2" t="str">
        <f aca="false">IF(P123&gt;J123,"Yes","No")</f>
        <v>No</v>
      </c>
      <c r="S123" s="2" t="str">
        <f aca="false">IF(P123*L123&gt;J123,"Yes","No")</f>
        <v>No</v>
      </c>
      <c r="T123" s="2" t="s">
        <v>171</v>
      </c>
    </row>
    <row r="124" customFormat="false" ht="15" hidden="false" customHeight="false" outlineLevel="0" collapsed="false">
      <c r="A124" s="2" t="n">
        <v>123</v>
      </c>
      <c r="B124" s="2" t="s">
        <v>259</v>
      </c>
      <c r="C124" s="2" t="s">
        <v>152</v>
      </c>
      <c r="D124" s="2" t="s">
        <v>152</v>
      </c>
      <c r="E124" s="2" t="s">
        <v>17</v>
      </c>
      <c r="F124" s="2" t="s">
        <v>18</v>
      </c>
      <c r="G124" s="9" t="n">
        <v>156246</v>
      </c>
      <c r="H124" s="9" t="n">
        <v>68429</v>
      </c>
      <c r="I124" s="9" t="n">
        <v>243071</v>
      </c>
      <c r="J124" s="10" t="n">
        <f aca="false">G124-H124</f>
        <v>87817</v>
      </c>
      <c r="K124" s="11" t="n">
        <f aca="false">J124/I124</f>
        <v>0.361281271727191</v>
      </c>
      <c r="L124" s="11" t="n">
        <f aca="false">I124/N124</f>
        <v>0.593958542563148</v>
      </c>
      <c r="M124" s="4" t="n">
        <f aca="false">INDEX('Lok Sabha seats'!$E:$E,MATCH(D124,'Lok Sabha seats'!$A:$A,0))</f>
        <v>0.0493403358612577</v>
      </c>
      <c r="N124" s="9" t="n">
        <v>409239</v>
      </c>
      <c r="O124" s="15"/>
      <c r="P124" s="10" t="n">
        <f aca="false">IF(O124&lt;&gt;"",O124,ROUND(N124*M124/(1+M124),0))</f>
        <v>19243</v>
      </c>
      <c r="Q124" s="16" t="n">
        <f aca="false">P124/J124</f>
        <v>0.219126137308266</v>
      </c>
      <c r="R124" s="2" t="str">
        <f aca="false">IF(P124&gt;J124,"Yes","No")</f>
        <v>No</v>
      </c>
      <c r="S124" s="2" t="str">
        <f aca="false">IF(P124*L124&gt;J124,"Yes","No")</f>
        <v>No</v>
      </c>
      <c r="T124" s="2" t="s">
        <v>171</v>
      </c>
    </row>
    <row r="125" customFormat="false" ht="15" hidden="false" customHeight="false" outlineLevel="0" collapsed="false">
      <c r="A125" s="2" t="n">
        <v>124</v>
      </c>
      <c r="B125" s="2" t="s">
        <v>260</v>
      </c>
      <c r="C125" s="2" t="s">
        <v>152</v>
      </c>
      <c r="D125" s="2" t="s">
        <v>152</v>
      </c>
      <c r="E125" s="2" t="s">
        <v>17</v>
      </c>
      <c r="F125" s="2" t="s">
        <v>18</v>
      </c>
      <c r="G125" s="9" t="n">
        <v>105689</v>
      </c>
      <c r="H125" s="9" t="n">
        <v>87833</v>
      </c>
      <c r="I125" s="9" t="n">
        <v>200663</v>
      </c>
      <c r="J125" s="10" t="n">
        <f aca="false">G125-H125</f>
        <v>17856</v>
      </c>
      <c r="K125" s="11" t="n">
        <f aca="false">J125/I125</f>
        <v>0.0889850146763479</v>
      </c>
      <c r="L125" s="11" t="n">
        <f aca="false">I125/N125</f>
        <v>0.580970083354324</v>
      </c>
      <c r="M125" s="4" t="n">
        <f aca="false">INDEX('Lok Sabha seats'!$E:$E,MATCH(D125,'Lok Sabha seats'!$A:$A,0))</f>
        <v>0.0493403358612577</v>
      </c>
      <c r="N125" s="9" t="n">
        <v>345393</v>
      </c>
      <c r="O125" s="15"/>
      <c r="P125" s="10" t="n">
        <f aca="false">IF(O125&lt;&gt;"",O125,ROUND(N125*M125/(1+M125),0))</f>
        <v>16240</v>
      </c>
      <c r="Q125" s="16" t="n">
        <f aca="false">P125/J125</f>
        <v>0.909498207885305</v>
      </c>
      <c r="R125" s="2" t="str">
        <f aca="false">IF(P125&gt;J125,"Yes","No")</f>
        <v>No</v>
      </c>
      <c r="S125" s="2" t="str">
        <f aca="false">IF(P125*L125&gt;J125,"Yes","No")</f>
        <v>No</v>
      </c>
      <c r="T125" s="2" t="s">
        <v>171</v>
      </c>
    </row>
    <row r="126" customFormat="false" ht="15" hidden="false" customHeight="false" outlineLevel="0" collapsed="false">
      <c r="A126" s="2" t="n">
        <v>125</v>
      </c>
      <c r="B126" s="2" t="s">
        <v>261</v>
      </c>
      <c r="C126" s="2" t="s">
        <v>152</v>
      </c>
      <c r="D126" s="2" t="s">
        <v>152</v>
      </c>
      <c r="E126" s="2" t="s">
        <v>17</v>
      </c>
      <c r="F126" s="2" t="s">
        <v>18</v>
      </c>
      <c r="G126" s="9" t="n">
        <v>141725</v>
      </c>
      <c r="H126" s="9" t="n">
        <v>73548</v>
      </c>
      <c r="I126" s="9" t="n">
        <v>276429</v>
      </c>
      <c r="J126" s="10" t="n">
        <f aca="false">G126-H126</f>
        <v>68177</v>
      </c>
      <c r="K126" s="11" t="n">
        <f aca="false">J126/I126</f>
        <v>0.246634759739391</v>
      </c>
      <c r="L126" s="11" t="n">
        <f aca="false">I126/N126</f>
        <v>0.571730834858685</v>
      </c>
      <c r="M126" s="4" t="n">
        <f aca="false">INDEX('Lok Sabha seats'!$E:$E,MATCH(D126,'Lok Sabha seats'!$A:$A,0))</f>
        <v>0.0493403358612577</v>
      </c>
      <c r="N126" s="9" t="n">
        <v>483495</v>
      </c>
      <c r="O126" s="15"/>
      <c r="P126" s="10" t="n">
        <f aca="false">IF(O126&lt;&gt;"",O126,ROUND(N126*M126/(1+M126),0))</f>
        <v>22734</v>
      </c>
      <c r="Q126" s="16" t="n">
        <f aca="false">P126/J126</f>
        <v>0.333455564193203</v>
      </c>
      <c r="R126" s="2" t="str">
        <f aca="false">IF(P126&gt;J126,"Yes","No")</f>
        <v>No</v>
      </c>
      <c r="S126" s="2" t="str">
        <f aca="false">IF(P126*L126&gt;J126,"Yes","No")</f>
        <v>No</v>
      </c>
      <c r="T126" s="2" t="s">
        <v>171</v>
      </c>
    </row>
    <row r="127" customFormat="false" ht="15" hidden="false" customHeight="false" outlineLevel="0" collapsed="false">
      <c r="A127" s="2" t="n">
        <v>126</v>
      </c>
      <c r="B127" s="2" t="s">
        <v>262</v>
      </c>
      <c r="C127" s="2" t="s">
        <v>152</v>
      </c>
      <c r="D127" s="2" t="s">
        <v>152</v>
      </c>
      <c r="E127" s="2" t="s">
        <v>25</v>
      </c>
      <c r="F127" s="2" t="s">
        <v>18</v>
      </c>
      <c r="G127" s="9" t="n">
        <v>81683</v>
      </c>
      <c r="H127" s="9" t="n">
        <v>41004</v>
      </c>
      <c r="I127" s="9" t="n">
        <v>183640</v>
      </c>
      <c r="J127" s="10" t="n">
        <f aca="false">G127-H127</f>
        <v>40679</v>
      </c>
      <c r="K127" s="11" t="n">
        <f aca="false">J127/I127</f>
        <v>0.221514920496624</v>
      </c>
      <c r="L127" s="11" t="n">
        <f aca="false">I127/N127</f>
        <v>0.637326864278253</v>
      </c>
      <c r="M127" s="4" t="n">
        <f aca="false">INDEX('Lok Sabha seats'!$E:$E,MATCH(D127,'Lok Sabha seats'!$A:$A,0))</f>
        <v>0.0493403358612577</v>
      </c>
      <c r="N127" s="9" t="n">
        <v>288141</v>
      </c>
      <c r="O127" s="15"/>
      <c r="P127" s="10" t="n">
        <f aca="false">IF(O127&lt;&gt;"",O127,ROUND(N127*M127/(1+M127),0))</f>
        <v>13548</v>
      </c>
      <c r="Q127" s="16" t="n">
        <f aca="false">P127/J127</f>
        <v>0.333046535067234</v>
      </c>
      <c r="R127" s="2" t="str">
        <f aca="false">IF(P127&gt;J127,"Yes","No")</f>
        <v>No</v>
      </c>
      <c r="S127" s="2" t="str">
        <f aca="false">IF(P127*L127&gt;J127,"Yes","No")</f>
        <v>No</v>
      </c>
      <c r="T127" s="2" t="s">
        <v>171</v>
      </c>
    </row>
    <row r="128" customFormat="false" ht="15" hidden="false" customHeight="false" outlineLevel="0" collapsed="false">
      <c r="A128" s="2" t="n">
        <v>127</v>
      </c>
      <c r="B128" s="2" t="s">
        <v>263</v>
      </c>
      <c r="C128" s="2" t="s">
        <v>152</v>
      </c>
      <c r="D128" s="2" t="s">
        <v>152</v>
      </c>
      <c r="E128" s="2" t="s">
        <v>25</v>
      </c>
      <c r="F128" s="2" t="s">
        <v>18</v>
      </c>
      <c r="G128" s="9" t="n">
        <v>117575</v>
      </c>
      <c r="H128" s="9" t="n">
        <v>30994</v>
      </c>
      <c r="I128" s="9" t="n">
        <v>215024</v>
      </c>
      <c r="J128" s="10" t="n">
        <f aca="false">G128-H128</f>
        <v>86581</v>
      </c>
      <c r="K128" s="11" t="n">
        <f aca="false">J128/I128</f>
        <v>0.402657377781085</v>
      </c>
      <c r="L128" s="11" t="n">
        <f aca="false">I128/N128</f>
        <v>0.76641276879373</v>
      </c>
      <c r="M128" s="4" t="n">
        <f aca="false">INDEX('Lok Sabha seats'!$E:$E,MATCH(D128,'Lok Sabha seats'!$A:$A,0))</f>
        <v>0.0493403358612577</v>
      </c>
      <c r="N128" s="9" t="n">
        <v>280559</v>
      </c>
      <c r="O128" s="15"/>
      <c r="P128" s="10" t="n">
        <f aca="false">IF(O128&lt;&gt;"",O128,ROUND(N128*M128/(1+M128),0))</f>
        <v>13192</v>
      </c>
      <c r="Q128" s="16" t="n">
        <f aca="false">P128/J128</f>
        <v>0.152365992538779</v>
      </c>
      <c r="R128" s="2" t="str">
        <f aca="false">IF(P128&gt;J128,"Yes","No")</f>
        <v>No</v>
      </c>
      <c r="S128" s="2" t="str">
        <f aca="false">IF(P128*L128&gt;J128,"Yes","No")</f>
        <v>No</v>
      </c>
      <c r="T128" s="2" t="s">
        <v>171</v>
      </c>
    </row>
    <row r="129" customFormat="false" ht="15" hidden="false" customHeight="false" outlineLevel="0" collapsed="false">
      <c r="A129" s="2" t="n">
        <v>128</v>
      </c>
      <c r="B129" s="2" t="s">
        <v>63</v>
      </c>
      <c r="C129" s="2" t="s">
        <v>39</v>
      </c>
      <c r="D129" s="2" t="s">
        <v>39</v>
      </c>
      <c r="E129" s="2" t="s">
        <v>64</v>
      </c>
      <c r="F129" s="2" t="s">
        <v>13</v>
      </c>
      <c r="G129" s="9" t="n">
        <v>104702</v>
      </c>
      <c r="H129" s="9" t="n">
        <v>99569</v>
      </c>
      <c r="I129" s="9" t="n">
        <v>221779</v>
      </c>
      <c r="J129" s="10" t="n">
        <f aca="false">G129-H129</f>
        <v>5133</v>
      </c>
      <c r="K129" s="11" t="n">
        <f aca="false">J129/I129</f>
        <v>0.0231446620284157</v>
      </c>
      <c r="L129" s="11" t="n">
        <f aca="false">I129/N129</f>
        <v>0.736222733444209</v>
      </c>
      <c r="M129" s="4" t="n">
        <f aca="false">INDEX('Lok Sabha seats'!$E:$E,MATCH(D129,'Lok Sabha seats'!$A:$A,0))</f>
        <v>0.0668145518251219</v>
      </c>
      <c r="N129" s="9" t="n">
        <v>301239</v>
      </c>
      <c r="O129" s="15"/>
      <c r="P129" s="10" t="n">
        <f aca="false">IF(O129&lt;&gt;"",O129,ROUND(N129*M129/(1+M129),0))</f>
        <v>18867</v>
      </c>
      <c r="Q129" s="16" t="n">
        <f aca="false">P129/J129</f>
        <v>3.67562828755114</v>
      </c>
      <c r="R129" s="2" t="str">
        <f aca="false">IF(P129&gt;J129,"Yes","No")</f>
        <v>Yes</v>
      </c>
      <c r="S129" s="2" t="str">
        <f aca="false">IF(P129*L129&gt;J129,"Yes","No")</f>
        <v>Yes</v>
      </c>
      <c r="T129" s="2" t="s">
        <v>171</v>
      </c>
    </row>
    <row r="130" customFormat="false" ht="15" hidden="false" customHeight="false" outlineLevel="0" collapsed="false">
      <c r="A130" s="2" t="n">
        <v>129</v>
      </c>
      <c r="B130" s="2" t="s">
        <v>264</v>
      </c>
      <c r="C130" s="2" t="s">
        <v>39</v>
      </c>
      <c r="D130" s="2" t="s">
        <v>39</v>
      </c>
      <c r="E130" s="2" t="s">
        <v>17</v>
      </c>
      <c r="F130" s="2" t="s">
        <v>18</v>
      </c>
      <c r="G130" s="9" t="n">
        <v>114514</v>
      </c>
      <c r="H130" s="9" t="n">
        <v>73106</v>
      </c>
      <c r="I130" s="9" t="n">
        <v>248835</v>
      </c>
      <c r="J130" s="10" t="n">
        <f aca="false">G130-H130</f>
        <v>41408</v>
      </c>
      <c r="K130" s="11" t="n">
        <f aca="false">J130/I130</f>
        <v>0.166407458757811</v>
      </c>
      <c r="L130" s="11" t="n">
        <f aca="false">I130/N130</f>
        <v>0.783137838679931</v>
      </c>
      <c r="M130" s="4" t="n">
        <f aca="false">INDEX('Lok Sabha seats'!$E:$E,MATCH(D130,'Lok Sabha seats'!$A:$A,0))</f>
        <v>0.0668145518251219</v>
      </c>
      <c r="N130" s="9" t="n">
        <v>317741</v>
      </c>
      <c r="O130" s="15"/>
      <c r="P130" s="10" t="n">
        <f aca="false">IF(O130&lt;&gt;"",O130,ROUND(N130*M130/(1+M130),0))</f>
        <v>19900</v>
      </c>
      <c r="Q130" s="16" t="n">
        <f aca="false">P130/J130</f>
        <v>0.480583462132921</v>
      </c>
      <c r="R130" s="2" t="str">
        <f aca="false">IF(P130&gt;J130,"Yes","No")</f>
        <v>No</v>
      </c>
      <c r="S130" s="2" t="str">
        <f aca="false">IF(P130*L130&gt;J130,"Yes","No")</f>
        <v>No</v>
      </c>
      <c r="T130" s="2" t="s">
        <v>171</v>
      </c>
    </row>
    <row r="131" customFormat="false" ht="15" hidden="false" customHeight="false" outlineLevel="0" collapsed="false">
      <c r="A131" s="2" t="n">
        <v>130</v>
      </c>
      <c r="B131" s="2" t="s">
        <v>265</v>
      </c>
      <c r="C131" s="2" t="s">
        <v>39</v>
      </c>
      <c r="D131" s="2" t="s">
        <v>39</v>
      </c>
      <c r="E131" s="2" t="s">
        <v>27</v>
      </c>
      <c r="F131" s="2" t="s">
        <v>18</v>
      </c>
      <c r="G131" s="9" t="n">
        <v>112894</v>
      </c>
      <c r="H131" s="9" t="n">
        <v>72557</v>
      </c>
      <c r="I131" s="9" t="n">
        <v>214587</v>
      </c>
      <c r="J131" s="10" t="n">
        <f aca="false">G131-H131</f>
        <v>40337</v>
      </c>
      <c r="K131" s="11" t="n">
        <f aca="false">J131/I131</f>
        <v>0.187975040426494</v>
      </c>
      <c r="L131" s="11" t="n">
        <f aca="false">I131/N131</f>
        <v>0.718694214931392</v>
      </c>
      <c r="M131" s="4" t="n">
        <f aca="false">INDEX('Lok Sabha seats'!$E:$E,MATCH(D131,'Lok Sabha seats'!$A:$A,0))</f>
        <v>0.0668145518251219</v>
      </c>
      <c r="N131" s="9" t="n">
        <v>298579</v>
      </c>
      <c r="O131" s="15"/>
      <c r="P131" s="10" t="n">
        <f aca="false">IF(O131&lt;&gt;"",O131,ROUND(N131*M131/(1+M131),0))</f>
        <v>18700</v>
      </c>
      <c r="Q131" s="16" t="n">
        <f aca="false">P131/J131</f>
        <v>0.46359421870739</v>
      </c>
      <c r="R131" s="2" t="str">
        <f aca="false">IF(P131&gt;J131,"Yes","No")</f>
        <v>No</v>
      </c>
      <c r="S131" s="2" t="str">
        <f aca="false">IF(P131*L131&gt;J131,"Yes","No")</f>
        <v>No</v>
      </c>
      <c r="T131" s="2" t="s">
        <v>171</v>
      </c>
    </row>
    <row r="132" customFormat="false" ht="15" hidden="false" customHeight="false" outlineLevel="0" collapsed="false">
      <c r="A132" s="2" t="n">
        <v>131</v>
      </c>
      <c r="B132" s="2" t="s">
        <v>266</v>
      </c>
      <c r="C132" s="2" t="s">
        <v>39</v>
      </c>
      <c r="D132" s="2" t="s">
        <v>39</v>
      </c>
      <c r="E132" s="2" t="s">
        <v>27</v>
      </c>
      <c r="F132" s="2" t="s">
        <v>18</v>
      </c>
      <c r="G132" s="9" t="n">
        <v>126117</v>
      </c>
      <c r="H132" s="9" t="n">
        <v>81662</v>
      </c>
      <c r="I132" s="9" t="n">
        <v>278158</v>
      </c>
      <c r="J132" s="10" t="n">
        <f aca="false">G132-H132</f>
        <v>44455</v>
      </c>
      <c r="K132" s="11" t="n">
        <f aca="false">J132/I132</f>
        <v>0.159819239425075</v>
      </c>
      <c r="L132" s="11" t="n">
        <f aca="false">I132/N132</f>
        <v>0.676242132210469</v>
      </c>
      <c r="M132" s="4" t="n">
        <f aca="false">INDEX('Lok Sabha seats'!$E:$E,MATCH(D132,'Lok Sabha seats'!$A:$A,0))</f>
        <v>0.0668145518251219</v>
      </c>
      <c r="N132" s="9" t="n">
        <v>411329</v>
      </c>
      <c r="O132" s="15"/>
      <c r="P132" s="10" t="n">
        <f aca="false">IF(O132&lt;&gt;"",O132,ROUND(N132*M132/(1+M132),0))</f>
        <v>25762</v>
      </c>
      <c r="Q132" s="16" t="n">
        <f aca="false">P132/J132</f>
        <v>0.579507367000337</v>
      </c>
      <c r="R132" s="2" t="str">
        <f aca="false">IF(P132&gt;J132,"Yes","No")</f>
        <v>No</v>
      </c>
      <c r="S132" s="2" t="str">
        <f aca="false">IF(P132*L132&gt;J132,"Yes","No")</f>
        <v>No</v>
      </c>
      <c r="T132" s="2" t="s">
        <v>171</v>
      </c>
    </row>
    <row r="133" customFormat="false" ht="15" hidden="false" customHeight="false" outlineLevel="0" collapsed="false">
      <c r="A133" s="2" t="n">
        <v>132</v>
      </c>
      <c r="B133" s="2" t="s">
        <v>128</v>
      </c>
      <c r="C133" s="2" t="s">
        <v>39</v>
      </c>
      <c r="D133" s="2" t="s">
        <v>39</v>
      </c>
      <c r="E133" s="2" t="s">
        <v>17</v>
      </c>
      <c r="F133" s="2" t="s">
        <v>18</v>
      </c>
      <c r="G133" s="9" t="n">
        <v>165113</v>
      </c>
      <c r="H133" s="9" t="n">
        <v>128238</v>
      </c>
      <c r="I133" s="9" t="n">
        <v>350112</v>
      </c>
      <c r="J133" s="10" t="n">
        <f aca="false">G133-H133</f>
        <v>36875</v>
      </c>
      <c r="K133" s="11" t="n">
        <f aca="false">J133/I133</f>
        <v>0.105323439356549</v>
      </c>
      <c r="L133" s="11" t="n">
        <f aca="false">I133/N133</f>
        <v>0.575344356691415</v>
      </c>
      <c r="M133" s="4" t="n">
        <f aca="false">INDEX('Lok Sabha seats'!$E:$E,MATCH(D133,'Lok Sabha seats'!$A:$A,0))</f>
        <v>0.0668145518251219</v>
      </c>
      <c r="N133" s="9" t="n">
        <v>608526</v>
      </c>
      <c r="O133" s="15"/>
      <c r="P133" s="10" t="n">
        <f aca="false">IF(O133&lt;&gt;"",O133,ROUND(N133*M133/(1+M133),0))</f>
        <v>38112</v>
      </c>
      <c r="Q133" s="16" t="n">
        <f aca="false">P133/J133</f>
        <v>1.03354576271186</v>
      </c>
      <c r="R133" s="2" t="str">
        <f aca="false">IF(P133&gt;J133,"Yes","No")</f>
        <v>Yes</v>
      </c>
      <c r="S133" s="2" t="str">
        <f aca="false">IF(P133*L133&gt;J133,"Yes","No")</f>
        <v>No</v>
      </c>
      <c r="T133" s="2" t="s">
        <v>171</v>
      </c>
    </row>
    <row r="134" customFormat="false" ht="15" hidden="false" customHeight="false" outlineLevel="0" collapsed="false">
      <c r="A134" s="2" t="n">
        <v>133</v>
      </c>
      <c r="B134" s="2" t="s">
        <v>38</v>
      </c>
      <c r="C134" s="2" t="s">
        <v>39</v>
      </c>
      <c r="D134" s="2" t="s">
        <v>39</v>
      </c>
      <c r="E134" s="2" t="s">
        <v>17</v>
      </c>
      <c r="F134" s="2" t="s">
        <v>18</v>
      </c>
      <c r="G134" s="9" t="n">
        <v>77553</v>
      </c>
      <c r="H134" s="9" t="n">
        <v>74400</v>
      </c>
      <c r="I134" s="9" t="n">
        <v>219200</v>
      </c>
      <c r="J134" s="10" t="n">
        <f aca="false">G134-H134</f>
        <v>3153</v>
      </c>
      <c r="K134" s="11" t="n">
        <f aca="false">J134/I134</f>
        <v>0.0143841240875912</v>
      </c>
      <c r="L134" s="11" t="n">
        <f aca="false">I134/N134</f>
        <v>0.618070672095463</v>
      </c>
      <c r="M134" s="4" t="n">
        <f aca="false">INDEX('Lok Sabha seats'!$E:$E,MATCH(D134,'Lok Sabha seats'!$A:$A,0))</f>
        <v>0.0668145518251219</v>
      </c>
      <c r="N134" s="9" t="n">
        <v>354652</v>
      </c>
      <c r="O134" s="15"/>
      <c r="P134" s="10" t="n">
        <f aca="false">IF(O134&lt;&gt;"",O134,ROUND(N134*M134/(1+M134),0))</f>
        <v>22212</v>
      </c>
      <c r="Q134" s="16" t="n">
        <f aca="false">P134/J134</f>
        <v>7.04471931493815</v>
      </c>
      <c r="R134" s="2" t="str">
        <f aca="false">IF(P134&gt;J134,"Yes","No")</f>
        <v>Yes</v>
      </c>
      <c r="S134" s="2" t="str">
        <f aca="false">IF(P134*L134&gt;J134,"Yes","No")</f>
        <v>Yes</v>
      </c>
      <c r="T134" s="2" t="s">
        <v>171</v>
      </c>
    </row>
    <row r="135" customFormat="false" ht="15" hidden="false" customHeight="false" outlineLevel="0" collapsed="false">
      <c r="A135" s="2" t="n">
        <v>134</v>
      </c>
      <c r="B135" s="2" t="s">
        <v>267</v>
      </c>
      <c r="C135" s="2" t="s">
        <v>16</v>
      </c>
      <c r="D135" s="2" t="s">
        <v>29</v>
      </c>
      <c r="E135" s="2" t="s">
        <v>27</v>
      </c>
      <c r="F135" s="2" t="s">
        <v>18</v>
      </c>
      <c r="G135" s="9" t="n">
        <v>127205</v>
      </c>
      <c r="H135" s="9" t="n">
        <v>69243</v>
      </c>
      <c r="I135" s="9" t="n">
        <v>241467</v>
      </c>
      <c r="J135" s="10" t="n">
        <f aca="false">G135-H135</f>
        <v>57962</v>
      </c>
      <c r="K135" s="11" t="n">
        <f aca="false">J135/I135</f>
        <v>0.240041082218274</v>
      </c>
      <c r="L135" s="11" t="n">
        <f aca="false">I135/N135</f>
        <v>0.715010763641101</v>
      </c>
      <c r="M135" s="4" t="n">
        <f aca="false">INDEX('Lok Sabha seats'!$E:$E,MATCH(D135,'Lok Sabha seats'!$A:$A,0))</f>
        <v>0.0765808884826115</v>
      </c>
      <c r="N135" s="9" t="n">
        <v>337711</v>
      </c>
      <c r="O135" s="15"/>
      <c r="P135" s="10" t="n">
        <f aca="false">IF(O135&lt;&gt;"",O135,ROUND(N135*M135/(1+M135),0))</f>
        <v>24023</v>
      </c>
      <c r="Q135" s="16" t="n">
        <f aca="false">P135/J135</f>
        <v>0.4144611987164</v>
      </c>
      <c r="R135" s="2" t="str">
        <f aca="false">IF(P135&gt;J135,"Yes","No")</f>
        <v>No</v>
      </c>
      <c r="S135" s="2" t="str">
        <f aca="false">IF(P135*L135&gt;J135,"Yes","No")</f>
        <v>No</v>
      </c>
      <c r="T135" s="2" t="s">
        <v>171</v>
      </c>
    </row>
    <row r="136" customFormat="false" ht="15" hidden="false" customHeight="false" outlineLevel="0" collapsed="false">
      <c r="A136" s="2" t="n">
        <v>135</v>
      </c>
      <c r="B136" s="2" t="s">
        <v>28</v>
      </c>
      <c r="C136" s="2" t="s">
        <v>16</v>
      </c>
      <c r="D136" s="2" t="s">
        <v>29</v>
      </c>
      <c r="E136" s="2" t="s">
        <v>25</v>
      </c>
      <c r="F136" s="2" t="s">
        <v>18</v>
      </c>
      <c r="G136" s="9" t="n">
        <v>73081</v>
      </c>
      <c r="H136" s="9" t="n">
        <v>71409</v>
      </c>
      <c r="I136" s="9" t="n">
        <v>206794</v>
      </c>
      <c r="J136" s="10" t="n">
        <f aca="false">G136-H136</f>
        <v>1672</v>
      </c>
      <c r="K136" s="11" t="n">
        <f aca="false">J136/I136</f>
        <v>0.00808534096733948</v>
      </c>
      <c r="L136" s="11" t="n">
        <f aca="false">I136/N136</f>
        <v>0.710493133647361</v>
      </c>
      <c r="M136" s="4" t="n">
        <f aca="false">INDEX('Lok Sabha seats'!$E:$E,MATCH(D136,'Lok Sabha seats'!$A:$A,0))</f>
        <v>0.0765808884826115</v>
      </c>
      <c r="N136" s="9" t="n">
        <v>291057</v>
      </c>
      <c r="O136" s="15"/>
      <c r="P136" s="10" t="n">
        <f aca="false">IF(O136&lt;&gt;"",O136,ROUND(N136*M136/(1+M136),0))</f>
        <v>20704</v>
      </c>
      <c r="Q136" s="16" t="n">
        <f aca="false">P136/J136</f>
        <v>12.3827751196172</v>
      </c>
      <c r="R136" s="2" t="str">
        <f aca="false">IF(P136&gt;J136,"Yes","No")</f>
        <v>Yes</v>
      </c>
      <c r="S136" s="2" t="str">
        <f aca="false">IF(P136*L136&gt;J136,"Yes","No")</f>
        <v>Yes</v>
      </c>
      <c r="T136" s="2" t="s">
        <v>171</v>
      </c>
    </row>
    <row r="137" customFormat="false" ht="15" hidden="false" customHeight="false" outlineLevel="0" collapsed="false">
      <c r="A137" s="2" t="n">
        <v>136</v>
      </c>
      <c r="B137" s="2" t="s">
        <v>268</v>
      </c>
      <c r="C137" s="2" t="s">
        <v>16</v>
      </c>
      <c r="D137" s="2" t="s">
        <v>29</v>
      </c>
      <c r="E137" s="2" t="s">
        <v>17</v>
      </c>
      <c r="F137" s="2" t="s">
        <v>18</v>
      </c>
      <c r="G137" s="9" t="n">
        <v>70172</v>
      </c>
      <c r="H137" s="9" t="n">
        <v>38879</v>
      </c>
      <c r="I137" s="9" t="n">
        <v>181558</v>
      </c>
      <c r="J137" s="10" t="n">
        <f aca="false">G137-H137</f>
        <v>31293</v>
      </c>
      <c r="K137" s="11" t="n">
        <f aca="false">J137/I137</f>
        <v>0.172358144504786</v>
      </c>
      <c r="L137" s="11" t="n">
        <f aca="false">I137/N137</f>
        <v>0.54352661531507</v>
      </c>
      <c r="M137" s="4" t="n">
        <f aca="false">INDEX('Lok Sabha seats'!$E:$E,MATCH(D137,'Lok Sabha seats'!$A:$A,0))</f>
        <v>0.0765808884826115</v>
      </c>
      <c r="N137" s="9" t="n">
        <v>334037</v>
      </c>
      <c r="O137" s="15"/>
      <c r="P137" s="10" t="n">
        <f aca="false">IF(O137&lt;&gt;"",O137,ROUND(N137*M137/(1+M137),0))</f>
        <v>23761</v>
      </c>
      <c r="Q137" s="16" t="n">
        <f aca="false">P137/J137</f>
        <v>0.759307193302017</v>
      </c>
      <c r="R137" s="2" t="str">
        <f aca="false">IF(P137&gt;J137,"Yes","No")</f>
        <v>No</v>
      </c>
      <c r="S137" s="2" t="str">
        <f aca="false">IF(P137*L137&gt;J137,"Yes","No")</f>
        <v>No</v>
      </c>
      <c r="T137" s="2" t="s">
        <v>171</v>
      </c>
    </row>
    <row r="138" customFormat="false" ht="15" hidden="false" customHeight="false" outlineLevel="0" collapsed="false">
      <c r="A138" s="2" t="n">
        <v>137</v>
      </c>
      <c r="B138" s="2" t="s">
        <v>269</v>
      </c>
      <c r="C138" s="2" t="s">
        <v>16</v>
      </c>
      <c r="D138" s="2" t="s">
        <v>29</v>
      </c>
      <c r="E138" s="2" t="s">
        <v>270</v>
      </c>
      <c r="F138" s="2" t="s">
        <v>13</v>
      </c>
      <c r="G138" s="9" t="n">
        <v>119687</v>
      </c>
      <c r="H138" s="9" t="n">
        <v>67672</v>
      </c>
      <c r="I138" s="9" t="n">
        <v>191683</v>
      </c>
      <c r="J138" s="10" t="n">
        <f aca="false">G138-H138</f>
        <v>52015</v>
      </c>
      <c r="K138" s="11" t="n">
        <f aca="false">J138/I138</f>
        <v>0.271359484148307</v>
      </c>
      <c r="L138" s="11" t="n">
        <f aca="false">I138/N138</f>
        <v>0.513008336790269</v>
      </c>
      <c r="M138" s="4" t="n">
        <f aca="false">INDEX('Lok Sabha seats'!$E:$E,MATCH(D138,'Lok Sabha seats'!$A:$A,0))</f>
        <v>0.0765808884826115</v>
      </c>
      <c r="N138" s="9" t="n">
        <v>373645</v>
      </c>
      <c r="O138" s="15"/>
      <c r="P138" s="10" t="n">
        <f aca="false">IF(O138&lt;&gt;"",O138,ROUND(N138*M138/(1+M138),0))</f>
        <v>26579</v>
      </c>
      <c r="Q138" s="16" t="n">
        <f aca="false">P138/J138</f>
        <v>0.510987215226377</v>
      </c>
      <c r="R138" s="2" t="str">
        <f aca="false">IF(P138&gt;J138,"Yes","No")</f>
        <v>No</v>
      </c>
      <c r="S138" s="2" t="str">
        <f aca="false">IF(P138*L138&gt;J138,"Yes","No")</f>
        <v>No</v>
      </c>
      <c r="T138" s="2" t="s">
        <v>171</v>
      </c>
    </row>
    <row r="139" customFormat="false" ht="15" hidden="false" customHeight="false" outlineLevel="0" collapsed="false">
      <c r="A139" s="2" t="n">
        <v>138</v>
      </c>
      <c r="B139" s="2" t="s">
        <v>271</v>
      </c>
      <c r="C139" s="2" t="s">
        <v>16</v>
      </c>
      <c r="D139" s="2" t="s">
        <v>29</v>
      </c>
      <c r="E139" s="2" t="s">
        <v>27</v>
      </c>
      <c r="F139" s="2" t="s">
        <v>18</v>
      </c>
      <c r="G139" s="9" t="n">
        <v>126020</v>
      </c>
      <c r="H139" s="9" t="n">
        <v>83566</v>
      </c>
      <c r="I139" s="9" t="n">
        <v>245557</v>
      </c>
      <c r="J139" s="10" t="n">
        <f aca="false">G139-H139</f>
        <v>42454</v>
      </c>
      <c r="K139" s="11" t="n">
        <f aca="false">J139/I139</f>
        <v>0.172888575768559</v>
      </c>
      <c r="L139" s="11" t="n">
        <f aca="false">I139/N139</f>
        <v>0.557327898283465</v>
      </c>
      <c r="M139" s="4" t="n">
        <f aca="false">INDEX('Lok Sabha seats'!$E:$E,MATCH(D139,'Lok Sabha seats'!$A:$A,0))</f>
        <v>0.0765808884826115</v>
      </c>
      <c r="N139" s="9" t="n">
        <v>440597</v>
      </c>
      <c r="O139" s="9" t="n">
        <v>40459</v>
      </c>
      <c r="P139" s="10" t="n">
        <f aca="false">IF(O139&lt;&gt;"",O139,ROUND(N139*M139/(1+M139),0))</f>
        <v>40459</v>
      </c>
      <c r="Q139" s="16" t="n">
        <f aca="false">P139/J139</f>
        <v>0.953007961558393</v>
      </c>
      <c r="R139" s="2" t="str">
        <f aca="false">IF(P139&gt;J139,"Yes","No")</f>
        <v>No</v>
      </c>
      <c r="S139" s="2" t="str">
        <f aca="false">IF(P139*L139&gt;J139,"Yes","No")</f>
        <v>No</v>
      </c>
      <c r="T139" s="2" t="s">
        <v>171</v>
      </c>
    </row>
    <row r="140" customFormat="false" ht="15" hidden="false" customHeight="false" outlineLevel="0" collapsed="false">
      <c r="A140" s="2" t="n">
        <v>139</v>
      </c>
      <c r="B140" s="2" t="s">
        <v>272</v>
      </c>
      <c r="C140" s="2" t="s">
        <v>16</v>
      </c>
      <c r="D140" s="2" t="s">
        <v>29</v>
      </c>
      <c r="E140" s="2" t="s">
        <v>17</v>
      </c>
      <c r="F140" s="2" t="s">
        <v>18</v>
      </c>
      <c r="G140" s="9" t="n">
        <v>175509</v>
      </c>
      <c r="H140" s="9" t="n">
        <v>123117</v>
      </c>
      <c r="I140" s="9" t="n">
        <v>318875</v>
      </c>
      <c r="J140" s="10" t="n">
        <f aca="false">G140-H140</f>
        <v>52392</v>
      </c>
      <c r="K140" s="11" t="n">
        <f aca="false">J140/I140</f>
        <v>0.164302626421011</v>
      </c>
      <c r="L140" s="11" t="n">
        <f aca="false">I140/N140</f>
        <v>0.678399710662922</v>
      </c>
      <c r="M140" s="4" t="n">
        <f aca="false">INDEX('Lok Sabha seats'!$E:$E,MATCH(D140,'Lok Sabha seats'!$A:$A,0))</f>
        <v>0.0765808884826115</v>
      </c>
      <c r="N140" s="9" t="n">
        <v>470040</v>
      </c>
      <c r="O140" s="15"/>
      <c r="P140" s="10" t="n">
        <f aca="false">IF(O140&lt;&gt;"",O140,ROUND(N140*M140/(1+M140),0))</f>
        <v>33436</v>
      </c>
      <c r="Q140" s="16" t="n">
        <f aca="false">P140/J140</f>
        <v>0.638189036494121</v>
      </c>
      <c r="R140" s="2" t="str">
        <f aca="false">IF(P140&gt;J140,"Yes","No")</f>
        <v>No</v>
      </c>
      <c r="S140" s="2" t="str">
        <f aca="false">IF(P140*L140&gt;J140,"Yes","No")</f>
        <v>No</v>
      </c>
      <c r="T140" s="2" t="s">
        <v>171</v>
      </c>
    </row>
    <row r="141" customFormat="false" ht="15" hidden="false" customHeight="false" outlineLevel="0" collapsed="false">
      <c r="A141" s="2" t="n">
        <v>140</v>
      </c>
      <c r="B141" s="2" t="s">
        <v>273</v>
      </c>
      <c r="C141" s="2" t="s">
        <v>16</v>
      </c>
      <c r="D141" s="2" t="s">
        <v>125</v>
      </c>
      <c r="E141" s="2" t="s">
        <v>27</v>
      </c>
      <c r="F141" s="2" t="s">
        <v>18</v>
      </c>
      <c r="G141" s="9" t="n">
        <v>111368</v>
      </c>
      <c r="H141" s="9" t="n">
        <v>59993</v>
      </c>
      <c r="I141" s="9" t="n">
        <v>184506</v>
      </c>
      <c r="J141" s="10" t="n">
        <f aca="false">G141-H141</f>
        <v>51375</v>
      </c>
      <c r="K141" s="11" t="n">
        <f aca="false">J141/I141</f>
        <v>0.278446229390914</v>
      </c>
      <c r="L141" s="11" t="n">
        <f aca="false">I141/N141</f>
        <v>0.492457241688553</v>
      </c>
      <c r="M141" s="4" t="n">
        <f aca="false">INDEX('Lok Sabha seats'!$E:$E,MATCH(D141,'Lok Sabha seats'!$A:$A,0))</f>
        <v>0.102625033557917</v>
      </c>
      <c r="N141" s="9" t="n">
        <v>374664</v>
      </c>
      <c r="O141" s="15"/>
      <c r="P141" s="10" t="n">
        <f aca="false">IF(O141&lt;&gt;"",O141,ROUND(N141*M141/(1+M141),0))</f>
        <v>34871</v>
      </c>
      <c r="Q141" s="16" t="n">
        <f aca="false">P141/J141</f>
        <v>0.678754257907543</v>
      </c>
      <c r="R141" s="2" t="str">
        <f aca="false">IF(P141&gt;J141,"Yes","No")</f>
        <v>No</v>
      </c>
      <c r="S141" s="2" t="str">
        <f aca="false">IF(P141*L141&gt;J141,"Yes","No")</f>
        <v>No</v>
      </c>
      <c r="T141" s="2" t="s">
        <v>171</v>
      </c>
    </row>
    <row r="142" customFormat="false" ht="15" hidden="false" customHeight="false" outlineLevel="0" collapsed="false">
      <c r="A142" s="2" t="n">
        <v>141</v>
      </c>
      <c r="B142" s="2" t="s">
        <v>274</v>
      </c>
      <c r="C142" s="2" t="s">
        <v>16</v>
      </c>
      <c r="D142" s="2" t="s">
        <v>125</v>
      </c>
      <c r="E142" s="2" t="s">
        <v>17</v>
      </c>
      <c r="F142" s="2" t="s">
        <v>18</v>
      </c>
      <c r="G142" s="9" t="n">
        <v>82231</v>
      </c>
      <c r="H142" s="9" t="n">
        <v>51477</v>
      </c>
      <c r="I142" s="9" t="n">
        <v>155211</v>
      </c>
      <c r="J142" s="10" t="n">
        <f aca="false">G142-H142</f>
        <v>30754</v>
      </c>
      <c r="K142" s="11" t="n">
        <f aca="false">J142/I142</f>
        <v>0.198143172842131</v>
      </c>
      <c r="L142" s="11" t="n">
        <f aca="false">I142/N142</f>
        <v>0.547715250600786</v>
      </c>
      <c r="M142" s="4" t="n">
        <f aca="false">INDEX('Lok Sabha seats'!$E:$E,MATCH(D142,'Lok Sabha seats'!$A:$A,0))</f>
        <v>0.102625033557917</v>
      </c>
      <c r="N142" s="9" t="n">
        <v>283379</v>
      </c>
      <c r="O142" s="15"/>
      <c r="P142" s="10" t="n">
        <f aca="false">IF(O142&lt;&gt;"",O142,ROUND(N142*M142/(1+M142),0))</f>
        <v>26375</v>
      </c>
      <c r="Q142" s="16" t="n">
        <f aca="false">P142/J142</f>
        <v>0.857612017948885</v>
      </c>
      <c r="R142" s="2" t="str">
        <f aca="false">IF(P142&gt;J142,"Yes","No")</f>
        <v>No</v>
      </c>
      <c r="S142" s="2" t="str">
        <f aca="false">IF(P142*L142&gt;J142,"Yes","No")</f>
        <v>No</v>
      </c>
      <c r="T142" s="2" t="s">
        <v>171</v>
      </c>
    </row>
    <row r="143" customFormat="false" ht="15" hidden="false" customHeight="false" outlineLevel="0" collapsed="false">
      <c r="A143" s="2" t="n">
        <v>142</v>
      </c>
      <c r="B143" s="2" t="s">
        <v>124</v>
      </c>
      <c r="C143" s="2" t="s">
        <v>16</v>
      </c>
      <c r="D143" s="2" t="s">
        <v>125</v>
      </c>
      <c r="E143" s="2" t="s">
        <v>17</v>
      </c>
      <c r="F143" s="2" t="s">
        <v>18</v>
      </c>
      <c r="G143" s="9" t="n">
        <v>81516</v>
      </c>
      <c r="H143" s="9" t="n">
        <v>55108</v>
      </c>
      <c r="I143" s="9" t="n">
        <v>193395</v>
      </c>
      <c r="J143" s="10" t="n">
        <f aca="false">G143-H143</f>
        <v>26408</v>
      </c>
      <c r="K143" s="11" t="n">
        <f aca="false">J143/I143</f>
        <v>0.136549548850798</v>
      </c>
      <c r="L143" s="11" t="n">
        <f aca="false">I143/N143</f>
        <v>0.587517809783913</v>
      </c>
      <c r="M143" s="4" t="n">
        <f aca="false">INDEX('Lok Sabha seats'!$E:$E,MATCH(D143,'Lok Sabha seats'!$A:$A,0))</f>
        <v>0.102625033557917</v>
      </c>
      <c r="N143" s="9" t="n">
        <v>329173</v>
      </c>
      <c r="O143" s="9" t="n">
        <v>29793</v>
      </c>
      <c r="P143" s="10" t="n">
        <f aca="false">IF(O143&lt;&gt;"",O143,ROUND(N143*M143/(1+M143),0))</f>
        <v>29793</v>
      </c>
      <c r="Q143" s="16" t="n">
        <f aca="false">P143/J143</f>
        <v>1.12818085428658</v>
      </c>
      <c r="R143" s="2" t="str">
        <f aca="false">IF(P143&gt;J143,"Yes","No")</f>
        <v>Yes</v>
      </c>
      <c r="S143" s="2" t="str">
        <f aca="false">IF(P143*L143&gt;J143,"Yes","No")</f>
        <v>No</v>
      </c>
      <c r="T143" s="2" t="s">
        <v>171</v>
      </c>
    </row>
    <row r="144" customFormat="false" ht="15" hidden="false" customHeight="false" outlineLevel="0" collapsed="false">
      <c r="A144" s="2" t="n">
        <v>143</v>
      </c>
      <c r="B144" s="2" t="s">
        <v>275</v>
      </c>
      <c r="C144" s="2" t="s">
        <v>16</v>
      </c>
      <c r="D144" s="2" t="s">
        <v>125</v>
      </c>
      <c r="E144" s="2" t="s">
        <v>17</v>
      </c>
      <c r="F144" s="2" t="s">
        <v>18</v>
      </c>
      <c r="G144" s="9" t="n">
        <v>123815</v>
      </c>
      <c r="H144" s="9" t="n">
        <v>46709</v>
      </c>
      <c r="I144" s="9" t="n">
        <v>176526</v>
      </c>
      <c r="J144" s="10" t="n">
        <f aca="false">G144-H144</f>
        <v>77106</v>
      </c>
      <c r="K144" s="11" t="n">
        <f aca="false">J144/I144</f>
        <v>0.436796845790422</v>
      </c>
      <c r="L144" s="11" t="n">
        <f aca="false">I144/N144</f>
        <v>0.56376108992661</v>
      </c>
      <c r="M144" s="4" t="n">
        <f aca="false">INDEX('Lok Sabha seats'!$E:$E,MATCH(D144,'Lok Sabha seats'!$A:$A,0))</f>
        <v>0.102625033557917</v>
      </c>
      <c r="N144" s="9" t="n">
        <v>313122</v>
      </c>
      <c r="O144" s="9" t="n">
        <v>38012</v>
      </c>
      <c r="P144" s="10" t="n">
        <f aca="false">IF(O144&lt;&gt;"",O144,ROUND(N144*M144/(1+M144),0))</f>
        <v>38012</v>
      </c>
      <c r="Q144" s="16" t="n">
        <f aca="false">P144/J144</f>
        <v>0.492983684797551</v>
      </c>
      <c r="R144" s="2" t="str">
        <f aca="false">IF(P144&gt;J144,"Yes","No")</f>
        <v>No</v>
      </c>
      <c r="S144" s="2" t="str">
        <f aca="false">IF(P144*L144&gt;J144,"Yes","No")</f>
        <v>No</v>
      </c>
      <c r="T144" s="2" t="s">
        <v>171</v>
      </c>
    </row>
    <row r="145" customFormat="false" ht="15" hidden="false" customHeight="false" outlineLevel="0" collapsed="false">
      <c r="A145" s="2" t="n">
        <v>144</v>
      </c>
      <c r="B145" s="2" t="s">
        <v>276</v>
      </c>
      <c r="C145" s="2" t="s">
        <v>16</v>
      </c>
      <c r="D145" s="2" t="s">
        <v>125</v>
      </c>
      <c r="E145" s="2" t="s">
        <v>27</v>
      </c>
      <c r="F145" s="2" t="s">
        <v>18</v>
      </c>
      <c r="G145" s="9" t="n">
        <v>141164</v>
      </c>
      <c r="H145" s="9" t="n">
        <v>74768</v>
      </c>
      <c r="I145" s="9" t="n">
        <v>296065</v>
      </c>
      <c r="J145" s="10" t="n">
        <f aca="false">G145-H145</f>
        <v>66396</v>
      </c>
      <c r="K145" s="11" t="n">
        <f aca="false">J145/I145</f>
        <v>0.224261564183541</v>
      </c>
      <c r="L145" s="11" t="n">
        <f aca="false">I145/N145</f>
        <v>0.580238590329781</v>
      </c>
      <c r="M145" s="4" t="n">
        <f aca="false">INDEX('Lok Sabha seats'!$E:$E,MATCH(D145,'Lok Sabha seats'!$A:$A,0))</f>
        <v>0.102625033557917</v>
      </c>
      <c r="N145" s="9" t="n">
        <v>510247</v>
      </c>
      <c r="O145" s="15"/>
      <c r="P145" s="10" t="n">
        <f aca="false">IF(O145&lt;&gt;"",O145,ROUND(N145*M145/(1+M145),0))</f>
        <v>47490</v>
      </c>
      <c r="Q145" s="16" t="n">
        <f aca="false">P145/J145</f>
        <v>0.715253930959696</v>
      </c>
      <c r="R145" s="2" t="str">
        <f aca="false">IF(P145&gt;J145,"Yes","No")</f>
        <v>No</v>
      </c>
      <c r="S145" s="2" t="str">
        <f aca="false">IF(P145*L145&gt;J145,"Yes","No")</f>
        <v>No</v>
      </c>
      <c r="T145" s="2" t="s">
        <v>171</v>
      </c>
    </row>
    <row r="146" customFormat="false" ht="15" hidden="false" customHeight="false" outlineLevel="0" collapsed="false">
      <c r="A146" s="2" t="n">
        <v>145</v>
      </c>
      <c r="B146" s="2" t="s">
        <v>277</v>
      </c>
      <c r="C146" s="2" t="s">
        <v>16</v>
      </c>
      <c r="D146" s="2" t="s">
        <v>16</v>
      </c>
      <c r="E146" s="2" t="s">
        <v>17</v>
      </c>
      <c r="F146" s="2" t="s">
        <v>18</v>
      </c>
      <c r="G146" s="9" t="n">
        <v>144376</v>
      </c>
      <c r="H146" s="9" t="n">
        <v>83943</v>
      </c>
      <c r="I146" s="9" t="n">
        <v>263124</v>
      </c>
      <c r="J146" s="10" t="n">
        <f aca="false">G146-H146</f>
        <v>60433</v>
      </c>
      <c r="K146" s="11" t="n">
        <f aca="false">J146/I146</f>
        <v>0.229674982137699</v>
      </c>
      <c r="L146" s="11" t="n">
        <f aca="false">I146/N146</f>
        <v>0.51505886129718</v>
      </c>
      <c r="M146" s="4" t="n">
        <f aca="false">INDEX('Lok Sabha seats'!$E:$E,MATCH(D146,'Lok Sabha seats'!$A:$A,0))</f>
        <v>0.0713779207871828</v>
      </c>
      <c r="N146" s="9" t="n">
        <v>510862</v>
      </c>
      <c r="O146" s="15"/>
      <c r="P146" s="10" t="n">
        <f aca="false">IF(O146&lt;&gt;"",O146,ROUND(N146*M146/(1+M146),0))</f>
        <v>34035</v>
      </c>
      <c r="Q146" s="16" t="n">
        <f aca="false">P146/J146</f>
        <v>0.563185676699816</v>
      </c>
      <c r="R146" s="2" t="str">
        <f aca="false">IF(P146&gt;J146,"Yes","No")</f>
        <v>No</v>
      </c>
      <c r="S146" s="2" t="str">
        <f aca="false">IF(P146*L146&gt;J146,"Yes","No")</f>
        <v>No</v>
      </c>
      <c r="T146" s="2" t="s">
        <v>171</v>
      </c>
    </row>
    <row r="147" customFormat="false" ht="15" hidden="false" customHeight="false" outlineLevel="0" collapsed="false">
      <c r="A147" s="2" t="n">
        <v>146</v>
      </c>
      <c r="B147" s="2" t="s">
        <v>278</v>
      </c>
      <c r="C147" s="2" t="s">
        <v>16</v>
      </c>
      <c r="D147" s="2" t="s">
        <v>16</v>
      </c>
      <c r="E147" s="2" t="s">
        <v>27</v>
      </c>
      <c r="F147" s="2" t="s">
        <v>18</v>
      </c>
      <c r="G147" s="9" t="n">
        <v>184178</v>
      </c>
      <c r="H147" s="9" t="n">
        <v>76020</v>
      </c>
      <c r="I147" s="9" t="n">
        <v>285547</v>
      </c>
      <c r="J147" s="10" t="n">
        <f aca="false">G147-H147</f>
        <v>108158</v>
      </c>
      <c r="K147" s="11" t="n">
        <f aca="false">J147/I147</f>
        <v>0.378774772629375</v>
      </c>
      <c r="L147" s="11" t="n">
        <f aca="false">I147/N147</f>
        <v>0.523833721634166</v>
      </c>
      <c r="M147" s="4" t="n">
        <f aca="false">INDEX('Lok Sabha seats'!$E:$E,MATCH(D147,'Lok Sabha seats'!$A:$A,0))</f>
        <v>0.0713779207871828</v>
      </c>
      <c r="N147" s="9" t="n">
        <v>545110</v>
      </c>
      <c r="O147" s="15"/>
      <c r="P147" s="10" t="n">
        <f aca="false">IF(O147&lt;&gt;"",O147,ROUND(N147*M147/(1+M147),0))</f>
        <v>36317</v>
      </c>
      <c r="Q147" s="16" t="n">
        <f aca="false">P147/J147</f>
        <v>0.335777288781228</v>
      </c>
      <c r="R147" s="2" t="str">
        <f aca="false">IF(P147&gt;J147,"Yes","No")</f>
        <v>No</v>
      </c>
      <c r="S147" s="2" t="str">
        <f aca="false">IF(P147*L147&gt;J147,"Yes","No")</f>
        <v>No</v>
      </c>
      <c r="T147" s="2" t="s">
        <v>171</v>
      </c>
    </row>
    <row r="148" customFormat="false" ht="15" hidden="false" customHeight="false" outlineLevel="0" collapsed="false">
      <c r="A148" s="2" t="n">
        <v>147</v>
      </c>
      <c r="B148" s="2" t="s">
        <v>279</v>
      </c>
      <c r="C148" s="2" t="s">
        <v>16</v>
      </c>
      <c r="D148" s="2" t="s">
        <v>16</v>
      </c>
      <c r="E148" s="2" t="s">
        <v>27</v>
      </c>
      <c r="F148" s="2" t="s">
        <v>18</v>
      </c>
      <c r="G148" s="9" t="n">
        <v>159060</v>
      </c>
      <c r="H148" s="9" t="n">
        <v>38343</v>
      </c>
      <c r="I148" s="9" t="n">
        <v>203168</v>
      </c>
      <c r="J148" s="10" t="n">
        <f aca="false">G148-H148</f>
        <v>120717</v>
      </c>
      <c r="K148" s="11" t="n">
        <f aca="false">J148/I148</f>
        <v>0.594173295007088</v>
      </c>
      <c r="L148" s="11" t="n">
        <f aca="false">I148/N148</f>
        <v>0.598387163280574</v>
      </c>
      <c r="M148" s="4" t="n">
        <f aca="false">INDEX('Lok Sabha seats'!$E:$E,MATCH(D148,'Lok Sabha seats'!$A:$A,0))</f>
        <v>0.0713779207871828</v>
      </c>
      <c r="N148" s="9" t="n">
        <v>339526</v>
      </c>
      <c r="O148" s="15"/>
      <c r="P148" s="10" t="n">
        <f aca="false">IF(O148&lt;&gt;"",O148,ROUND(N148*M148/(1+M148),0))</f>
        <v>22620</v>
      </c>
      <c r="Q148" s="16" t="n">
        <f aca="false">P148/J148</f>
        <v>0.187380402097468</v>
      </c>
      <c r="R148" s="2" t="str">
        <f aca="false">IF(P148&gt;J148,"Yes","No")</f>
        <v>No</v>
      </c>
      <c r="S148" s="2" t="str">
        <f aca="false">IF(P148*L148&gt;J148,"Yes","No")</f>
        <v>No</v>
      </c>
      <c r="T148" s="2" t="s">
        <v>171</v>
      </c>
    </row>
    <row r="149" customFormat="false" ht="15" hidden="false" customHeight="false" outlineLevel="0" collapsed="false">
      <c r="A149" s="2" t="n">
        <v>148</v>
      </c>
      <c r="B149" s="2" t="s">
        <v>16</v>
      </c>
      <c r="C149" s="2" t="s">
        <v>16</v>
      </c>
      <c r="D149" s="2" t="s">
        <v>16</v>
      </c>
      <c r="E149" s="2" t="s">
        <v>17</v>
      </c>
      <c r="F149" s="2" t="s">
        <v>18</v>
      </c>
      <c r="G149" s="9" t="n">
        <v>120373</v>
      </c>
      <c r="H149" s="9" t="n">
        <v>62120</v>
      </c>
      <c r="I149" s="9" t="n">
        <v>232156</v>
      </c>
      <c r="J149" s="10" t="n">
        <f aca="false">G149-H149</f>
        <v>58253</v>
      </c>
      <c r="K149" s="11" t="n">
        <f aca="false">J149/I149</f>
        <v>0.250921793966126</v>
      </c>
      <c r="L149" s="11" t="n">
        <f aca="false">I149/N149</f>
        <v>0.613833165435859</v>
      </c>
      <c r="M149" s="4" t="n">
        <f aca="false">INDEX('Lok Sabha seats'!$E:$E,MATCH(D149,'Lok Sabha seats'!$A:$A,0))</f>
        <v>0.0713779207871828</v>
      </c>
      <c r="N149" s="9" t="n">
        <v>378207</v>
      </c>
      <c r="O149" s="15"/>
      <c r="P149" s="10" t="n">
        <f aca="false">IF(O149&lt;&gt;"",O149,ROUND(N149*M149/(1+M149),0))</f>
        <v>25197</v>
      </c>
      <c r="Q149" s="16" t="n">
        <f aca="false">P149/J149</f>
        <v>0.432544246648241</v>
      </c>
      <c r="R149" s="2" t="str">
        <f aca="false">IF(P149&gt;J149,"Yes","No")</f>
        <v>No</v>
      </c>
      <c r="S149" s="2" t="str">
        <f aca="false">IF(P149*L149&gt;J149,"Yes","No")</f>
        <v>No</v>
      </c>
      <c r="T149" s="2" t="s">
        <v>171</v>
      </c>
    </row>
    <row r="150" customFormat="false" ht="15" hidden="false" customHeight="false" outlineLevel="0" collapsed="false">
      <c r="A150" s="2" t="n">
        <v>149</v>
      </c>
      <c r="B150" s="2" t="s">
        <v>280</v>
      </c>
      <c r="C150" s="2" t="s">
        <v>16</v>
      </c>
      <c r="D150" s="2" t="s">
        <v>125</v>
      </c>
      <c r="E150" s="2" t="s">
        <v>34</v>
      </c>
      <c r="F150" s="2" t="s">
        <v>22</v>
      </c>
      <c r="G150" s="9" t="n">
        <v>157141</v>
      </c>
      <c r="H150" s="9" t="n">
        <v>60913</v>
      </c>
      <c r="I150" s="9" t="n">
        <v>253740</v>
      </c>
      <c r="J150" s="10" t="n">
        <f aca="false">G150-H150</f>
        <v>96228</v>
      </c>
      <c r="K150" s="11" t="n">
        <f aca="false">J150/I150</f>
        <v>0.379238590683377</v>
      </c>
      <c r="L150" s="11" t="n">
        <f aca="false">I150/N150</f>
        <v>0.522825988411865</v>
      </c>
      <c r="M150" s="4" t="n">
        <f aca="false">INDEX('Lok Sabha seats'!$E:$E,MATCH(D150,'Lok Sabha seats'!$A:$A,0))</f>
        <v>0.102625033557917</v>
      </c>
      <c r="N150" s="9" t="n">
        <v>485324</v>
      </c>
      <c r="O150" s="15"/>
      <c r="P150" s="10" t="n">
        <f aca="false">IF(O150&lt;&gt;"",O150,ROUND(N150*M150/(1+M150),0))</f>
        <v>45171</v>
      </c>
      <c r="Q150" s="16" t="n">
        <f aca="false">P150/J150</f>
        <v>0.469416386083053</v>
      </c>
      <c r="R150" s="2" t="str">
        <f aca="false">IF(P150&gt;J150,"Yes","No")</f>
        <v>No</v>
      </c>
      <c r="S150" s="2" t="str">
        <f aca="false">IF(P150*L150&gt;J150,"Yes","No")</f>
        <v>No</v>
      </c>
      <c r="T150" s="2" t="s">
        <v>171</v>
      </c>
    </row>
    <row r="151" customFormat="false" ht="15" hidden="false" customHeight="false" outlineLevel="0" collapsed="false">
      <c r="A151" s="2" t="n">
        <v>150</v>
      </c>
      <c r="B151" s="2" t="s">
        <v>281</v>
      </c>
      <c r="C151" s="2" t="s">
        <v>16</v>
      </c>
      <c r="D151" s="2" t="s">
        <v>16</v>
      </c>
      <c r="E151" s="2" t="s">
        <v>17</v>
      </c>
      <c r="F151" s="2" t="s">
        <v>18</v>
      </c>
      <c r="G151" s="9" t="n">
        <v>144261</v>
      </c>
      <c r="H151" s="9" t="n">
        <v>52381</v>
      </c>
      <c r="I151" s="9" t="n">
        <v>265088</v>
      </c>
      <c r="J151" s="10" t="n">
        <f aca="false">G151-H151</f>
        <v>91880</v>
      </c>
      <c r="K151" s="11" t="n">
        <f aca="false">J151/I151</f>
        <v>0.346601883148238</v>
      </c>
      <c r="L151" s="11" t="n">
        <f aca="false">I151/N151</f>
        <v>0.542036850359568</v>
      </c>
      <c r="M151" s="4" t="n">
        <f aca="false">INDEX('Lok Sabha seats'!$E:$E,MATCH(D151,'Lok Sabha seats'!$A:$A,0))</f>
        <v>0.0713779207871828</v>
      </c>
      <c r="N151" s="9" t="n">
        <v>489059</v>
      </c>
      <c r="O151" s="15"/>
      <c r="P151" s="10" t="n">
        <f aca="false">IF(O151&lt;&gt;"",O151,ROUND(N151*M151/(1+M151),0))</f>
        <v>32582</v>
      </c>
      <c r="Q151" s="16" t="n">
        <f aca="false">P151/J151</f>
        <v>0.354614714845451</v>
      </c>
      <c r="R151" s="2" t="str">
        <f aca="false">IF(P151&gt;J151,"Yes","No")</f>
        <v>No</v>
      </c>
      <c r="S151" s="2" t="str">
        <f aca="false">IF(P151*L151&gt;J151,"Yes","No")</f>
        <v>No</v>
      </c>
      <c r="T151" s="2" t="s">
        <v>171</v>
      </c>
    </row>
    <row r="152" customFormat="false" ht="15" hidden="false" customHeight="false" outlineLevel="0" collapsed="false">
      <c r="A152" s="2" t="n">
        <v>151</v>
      </c>
      <c r="B152" s="2" t="s">
        <v>15</v>
      </c>
      <c r="C152" s="2" t="s">
        <v>16</v>
      </c>
      <c r="D152" s="2" t="s">
        <v>16</v>
      </c>
      <c r="E152" s="2" t="s">
        <v>17</v>
      </c>
      <c r="F152" s="2" t="s">
        <v>18</v>
      </c>
      <c r="G152" s="9" t="n">
        <v>91852</v>
      </c>
      <c r="H152" s="9" t="n">
        <v>91475</v>
      </c>
      <c r="I152" s="9" t="n">
        <v>235277</v>
      </c>
      <c r="J152" s="10" t="n">
        <f aca="false">G152-H152</f>
        <v>377</v>
      </c>
      <c r="K152" s="11" t="n">
        <f aca="false">J152/I152</f>
        <v>0.00160236657216813</v>
      </c>
      <c r="L152" s="11" t="n">
        <f aca="false">I152/N152</f>
        <v>0.555450104939102</v>
      </c>
      <c r="M152" s="4" t="n">
        <f aca="false">INDEX('Lok Sabha seats'!$E:$E,MATCH(D152,'Lok Sabha seats'!$A:$A,0))</f>
        <v>0.0713779207871828</v>
      </c>
      <c r="N152" s="9" t="n">
        <v>423579</v>
      </c>
      <c r="O152" s="15"/>
      <c r="P152" s="10" t="n">
        <f aca="false">IF(O152&lt;&gt;"",O152,ROUND(N152*M152/(1+M152),0))</f>
        <v>28220</v>
      </c>
      <c r="Q152" s="16" t="n">
        <f aca="false">P152/J152</f>
        <v>74.8541114058355</v>
      </c>
      <c r="R152" s="2" t="str">
        <f aca="false">IF(P152&gt;J152,"Yes","No")</f>
        <v>Yes</v>
      </c>
      <c r="S152" s="2" t="str">
        <f aca="false">IF(P152*L152&gt;J152,"Yes","No")</f>
        <v>Yes</v>
      </c>
      <c r="T152" s="2" t="s">
        <v>171</v>
      </c>
    </row>
    <row r="153" customFormat="false" ht="15" hidden="false" customHeight="false" outlineLevel="0" collapsed="false">
      <c r="A153" s="2" t="n">
        <v>152</v>
      </c>
      <c r="B153" s="2" t="s">
        <v>282</v>
      </c>
      <c r="C153" s="2" t="s">
        <v>283</v>
      </c>
      <c r="D153" s="2" t="s">
        <v>102</v>
      </c>
      <c r="E153" s="2" t="s">
        <v>17</v>
      </c>
      <c r="F153" s="2" t="s">
        <v>18</v>
      </c>
      <c r="G153" s="9" t="n">
        <v>139947</v>
      </c>
      <c r="H153" s="9" t="n">
        <v>39690</v>
      </c>
      <c r="I153" s="9" t="n">
        <v>204094</v>
      </c>
      <c r="J153" s="10" t="n">
        <f aca="false">G153-H153</f>
        <v>100257</v>
      </c>
      <c r="K153" s="11" t="n">
        <f aca="false">J153/I153</f>
        <v>0.491229531490392</v>
      </c>
      <c r="L153" s="11" t="n">
        <f aca="false">I153/N153</f>
        <v>0.626566462205358</v>
      </c>
      <c r="M153" s="4" t="n">
        <f aca="false">INDEX('Lok Sabha seats'!$E:$E,MATCH(D153,'Lok Sabha seats'!$A:$A,0))</f>
        <v>0.0323227785436841</v>
      </c>
      <c r="N153" s="9" t="n">
        <v>325734</v>
      </c>
      <c r="O153" s="15"/>
      <c r="P153" s="10" t="n">
        <f aca="false">IF(O153&lt;&gt;"",O153,ROUND(N153*M153/(1+M153),0))</f>
        <v>10199</v>
      </c>
      <c r="Q153" s="16" t="n">
        <f aca="false">P153/J153</f>
        <v>0.10172855760695</v>
      </c>
      <c r="R153" s="2" t="str">
        <f aca="false">IF(P153&gt;J153,"Yes","No")</f>
        <v>No</v>
      </c>
      <c r="S153" s="2" t="str">
        <f aca="false">IF(P153*L153&gt;J153,"Yes","No")</f>
        <v>No</v>
      </c>
      <c r="T153" s="2" t="s">
        <v>171</v>
      </c>
    </row>
    <row r="154" customFormat="false" ht="15" hidden="false" customHeight="false" outlineLevel="0" collapsed="false">
      <c r="A154" s="2" t="n">
        <v>153</v>
      </c>
      <c r="B154" s="2" t="s">
        <v>284</v>
      </c>
      <c r="C154" s="2" t="s">
        <v>283</v>
      </c>
      <c r="D154" s="2" t="s">
        <v>102</v>
      </c>
      <c r="E154" s="2" t="s">
        <v>17</v>
      </c>
      <c r="F154" s="2" t="s">
        <v>18</v>
      </c>
      <c r="G154" s="9" t="n">
        <v>98587</v>
      </c>
      <c r="H154" s="9" t="n">
        <v>54258</v>
      </c>
      <c r="I154" s="9" t="n">
        <v>162578</v>
      </c>
      <c r="J154" s="10" t="n">
        <f aca="false">G154-H154</f>
        <v>44329</v>
      </c>
      <c r="K154" s="11" t="n">
        <f aca="false">J154/I154</f>
        <v>0.27266296792924</v>
      </c>
      <c r="L154" s="11" t="n">
        <f aca="false">I154/N154</f>
        <v>0.584991814043862</v>
      </c>
      <c r="M154" s="4" t="n">
        <f aca="false">INDEX('Lok Sabha seats'!$E:$E,MATCH(D154,'Lok Sabha seats'!$A:$A,0))</f>
        <v>0.0323227785436841</v>
      </c>
      <c r="N154" s="9" t="n">
        <v>277915</v>
      </c>
      <c r="O154" s="15"/>
      <c r="P154" s="10" t="n">
        <f aca="false">IF(O154&lt;&gt;"",O154,ROUND(N154*M154/(1+M154),0))</f>
        <v>8702</v>
      </c>
      <c r="Q154" s="16" t="n">
        <f aca="false">P154/J154</f>
        <v>0.196304901982901</v>
      </c>
      <c r="R154" s="2" t="str">
        <f aca="false">IF(P154&gt;J154,"Yes","No")</f>
        <v>No</v>
      </c>
      <c r="S154" s="2" t="str">
        <f aca="false">IF(P154*L154&gt;J154,"Yes","No")</f>
        <v>No</v>
      </c>
      <c r="T154" s="2" t="s">
        <v>171</v>
      </c>
    </row>
    <row r="155" customFormat="false" ht="15" hidden="false" customHeight="false" outlineLevel="0" collapsed="false">
      <c r="A155" s="2" t="n">
        <v>154</v>
      </c>
      <c r="B155" s="2" t="s">
        <v>285</v>
      </c>
      <c r="C155" s="2" t="s">
        <v>283</v>
      </c>
      <c r="D155" s="2" t="s">
        <v>102</v>
      </c>
      <c r="E155" s="2" t="s">
        <v>27</v>
      </c>
      <c r="F155" s="2" t="s">
        <v>18</v>
      </c>
      <c r="G155" s="9" t="n">
        <v>105527</v>
      </c>
      <c r="H155" s="9" t="n">
        <v>47363</v>
      </c>
      <c r="I155" s="9" t="n">
        <v>181474</v>
      </c>
      <c r="J155" s="10" t="n">
        <f aca="false">G155-H155</f>
        <v>58164</v>
      </c>
      <c r="K155" s="11" t="n">
        <f aca="false">J155/I155</f>
        <v>0.320508723012663</v>
      </c>
      <c r="L155" s="11" t="n">
        <f aca="false">I155/N155</f>
        <v>0.595725264011398</v>
      </c>
      <c r="M155" s="4" t="n">
        <f aca="false">INDEX('Lok Sabha seats'!$E:$E,MATCH(D155,'Lok Sabha seats'!$A:$A,0))</f>
        <v>0.0323227785436841</v>
      </c>
      <c r="N155" s="9" t="n">
        <v>304627</v>
      </c>
      <c r="O155" s="15"/>
      <c r="P155" s="10" t="n">
        <f aca="false">IF(O155&lt;&gt;"",O155,ROUND(N155*M155/(1+M155),0))</f>
        <v>9538</v>
      </c>
      <c r="Q155" s="16" t="n">
        <f aca="false">P155/J155</f>
        <v>0.163984595282305</v>
      </c>
      <c r="R155" s="2" t="str">
        <f aca="false">IF(P155&gt;J155,"Yes","No")</f>
        <v>No</v>
      </c>
      <c r="S155" s="2" t="str">
        <f aca="false">IF(P155*L155&gt;J155,"Yes","No")</f>
        <v>No</v>
      </c>
      <c r="T155" s="2" t="s">
        <v>171</v>
      </c>
    </row>
    <row r="156" customFormat="false" ht="15" hidden="false" customHeight="false" outlineLevel="0" collapsed="false">
      <c r="A156" s="2" t="n">
        <v>155</v>
      </c>
      <c r="B156" s="2" t="s">
        <v>286</v>
      </c>
      <c r="C156" s="2" t="s">
        <v>283</v>
      </c>
      <c r="D156" s="2" t="s">
        <v>116</v>
      </c>
      <c r="E156" s="2" t="s">
        <v>17</v>
      </c>
      <c r="F156" s="2" t="s">
        <v>18</v>
      </c>
      <c r="G156" s="9" t="n">
        <v>131549</v>
      </c>
      <c r="H156" s="9" t="n">
        <v>41517</v>
      </c>
      <c r="I156" s="9" t="n">
        <v>183267</v>
      </c>
      <c r="J156" s="10" t="n">
        <f aca="false">G156-H156</f>
        <v>90032</v>
      </c>
      <c r="K156" s="11" t="n">
        <f aca="false">J156/I156</f>
        <v>0.491261383664271</v>
      </c>
      <c r="L156" s="11" t="n">
        <f aca="false">I156/N156</f>
        <v>0.61771159504798</v>
      </c>
      <c r="M156" s="4" t="n">
        <f aca="false">INDEX('Lok Sabha seats'!$E:$E,MATCH(D156,'Lok Sabha seats'!$A:$A,0))</f>
        <v>0.0322715637581023</v>
      </c>
      <c r="N156" s="9" t="n">
        <v>296687</v>
      </c>
      <c r="O156" s="15"/>
      <c r="P156" s="10" t="n">
        <f aca="false">IF(O156&lt;&gt;"",O156,ROUND(N156*M156/(1+M156),0))</f>
        <v>9275</v>
      </c>
      <c r="Q156" s="16" t="n">
        <f aca="false">P156/J156</f>
        <v>0.103018926603874</v>
      </c>
      <c r="R156" s="2" t="str">
        <f aca="false">IF(P156&gt;J156,"Yes","No")</f>
        <v>No</v>
      </c>
      <c r="S156" s="2" t="str">
        <f aca="false">IF(P156*L156&gt;J156,"Yes","No")</f>
        <v>No</v>
      </c>
      <c r="T156" s="2" t="s">
        <v>171</v>
      </c>
    </row>
    <row r="157" customFormat="false" ht="15" hidden="false" customHeight="false" outlineLevel="0" collapsed="false">
      <c r="A157" s="2" t="n">
        <v>156</v>
      </c>
      <c r="B157" s="2" t="s">
        <v>287</v>
      </c>
      <c r="C157" s="2" t="s">
        <v>283</v>
      </c>
      <c r="D157" s="2" t="s">
        <v>116</v>
      </c>
      <c r="E157" s="2" t="s">
        <v>44</v>
      </c>
      <c r="F157" s="2" t="s">
        <v>22</v>
      </c>
      <c r="G157" s="9" t="n">
        <v>66093</v>
      </c>
      <c r="H157" s="9" t="n">
        <v>50567</v>
      </c>
      <c r="I157" s="9" t="n">
        <v>141044</v>
      </c>
      <c r="J157" s="10" t="n">
        <f aca="false">G157-H157</f>
        <v>15526</v>
      </c>
      <c r="K157" s="11" t="n">
        <f aca="false">J157/I157</f>
        <v>0.110079124244916</v>
      </c>
      <c r="L157" s="11" t="n">
        <f aca="false">I157/N157</f>
        <v>0.579152893834562</v>
      </c>
      <c r="M157" s="4" t="n">
        <f aca="false">INDEX('Lok Sabha seats'!$E:$E,MATCH(D157,'Lok Sabha seats'!$A:$A,0))</f>
        <v>0.0322715637581023</v>
      </c>
      <c r="N157" s="9" t="n">
        <v>243535</v>
      </c>
      <c r="O157" s="15"/>
      <c r="P157" s="10" t="n">
        <f aca="false">IF(O157&lt;&gt;"",O157,ROUND(N157*M157/(1+M157),0))</f>
        <v>7614</v>
      </c>
      <c r="Q157" s="16" t="n">
        <f aca="false">P157/J157</f>
        <v>0.490403194641247</v>
      </c>
      <c r="R157" s="2" t="str">
        <f aca="false">IF(P157&gt;J157,"Yes","No")</f>
        <v>No</v>
      </c>
      <c r="S157" s="2" t="str">
        <f aca="false">IF(P157*L157&gt;J157,"Yes","No")</f>
        <v>No</v>
      </c>
      <c r="T157" s="2" t="s">
        <v>171</v>
      </c>
    </row>
    <row r="158" customFormat="false" ht="15" hidden="false" customHeight="false" outlineLevel="0" collapsed="false">
      <c r="A158" s="2" t="n">
        <v>157</v>
      </c>
      <c r="B158" s="2" t="s">
        <v>115</v>
      </c>
      <c r="C158" s="2" t="s">
        <v>283</v>
      </c>
      <c r="D158" s="2" t="s">
        <v>116</v>
      </c>
      <c r="E158" s="2" t="s">
        <v>27</v>
      </c>
      <c r="F158" s="2" t="s">
        <v>18</v>
      </c>
      <c r="G158" s="9" t="n">
        <v>77754</v>
      </c>
      <c r="H158" s="9" t="n">
        <v>70990</v>
      </c>
      <c r="I158" s="9" t="n">
        <v>181923</v>
      </c>
      <c r="J158" s="10" t="n">
        <f aca="false">G158-H158</f>
        <v>6764</v>
      </c>
      <c r="K158" s="11" t="n">
        <f aca="false">J158/I158</f>
        <v>0.0371805654040446</v>
      </c>
      <c r="L158" s="11" t="n">
        <f aca="false">I158/N158</f>
        <v>0.631050415212671</v>
      </c>
      <c r="M158" s="4" t="n">
        <f aca="false">INDEX('Lok Sabha seats'!$E:$E,MATCH(D158,'Lok Sabha seats'!$A:$A,0))</f>
        <v>0.0322715637581023</v>
      </c>
      <c r="N158" s="9" t="n">
        <v>288286</v>
      </c>
      <c r="O158" s="15"/>
      <c r="P158" s="10" t="n">
        <f aca="false">IF(O158&lt;&gt;"",O158,ROUND(N158*M158/(1+M158),0))</f>
        <v>9013</v>
      </c>
      <c r="Q158" s="16" t="n">
        <f aca="false">P158/J158</f>
        <v>1.33249556475458</v>
      </c>
      <c r="R158" s="2" t="str">
        <f aca="false">IF(P158&gt;J158,"Yes","No")</f>
        <v>Yes</v>
      </c>
      <c r="S158" s="2" t="str">
        <f aca="false">IF(P158*L158&gt;J158,"Yes","No")</f>
        <v>No</v>
      </c>
      <c r="T158" s="2" t="s">
        <v>171</v>
      </c>
    </row>
    <row r="159" customFormat="false" ht="15" hidden="false" customHeight="false" outlineLevel="0" collapsed="false">
      <c r="A159" s="2" t="n">
        <v>158</v>
      </c>
      <c r="B159" s="2" t="s">
        <v>42</v>
      </c>
      <c r="C159" s="2" t="s">
        <v>283</v>
      </c>
      <c r="D159" s="2" t="s">
        <v>43</v>
      </c>
      <c r="E159" s="2" t="s">
        <v>44</v>
      </c>
      <c r="F159" s="2" t="s">
        <v>22</v>
      </c>
      <c r="G159" s="9" t="n">
        <v>77044</v>
      </c>
      <c r="H159" s="9" t="n">
        <v>75503</v>
      </c>
      <c r="I159" s="9" t="n">
        <v>177849</v>
      </c>
      <c r="J159" s="10" t="n">
        <f aca="false">G159-H159</f>
        <v>1541</v>
      </c>
      <c r="K159" s="11" t="n">
        <f aca="false">J159/I159</f>
        <v>0.00866465372310218</v>
      </c>
      <c r="L159" s="11" t="n">
        <f aca="false">I159/N159</f>
        <v>0.594782870424561</v>
      </c>
      <c r="M159" s="4" t="n">
        <f aca="false">INDEX('Lok Sabha seats'!$E:$E,MATCH(D159,'Lok Sabha seats'!$A:$A,0))</f>
        <v>0.0360944228765342</v>
      </c>
      <c r="N159" s="9" t="n">
        <v>299015</v>
      </c>
      <c r="O159" s="15"/>
      <c r="P159" s="10" t="n">
        <f aca="false">IF(O159&lt;&gt;"",O159,ROUND(N159*M159/(1+M159),0))</f>
        <v>10417</v>
      </c>
      <c r="Q159" s="16" t="n">
        <f aca="false">P159/J159</f>
        <v>6.75989617131733</v>
      </c>
      <c r="R159" s="2" t="str">
        <f aca="false">IF(P159&gt;J159,"Yes","No")</f>
        <v>Yes</v>
      </c>
      <c r="S159" s="2" t="str">
        <f aca="false">IF(P159*L159&gt;J159,"Yes","No")</f>
        <v>Yes</v>
      </c>
      <c r="T159" s="2" t="s">
        <v>171</v>
      </c>
    </row>
    <row r="160" customFormat="false" ht="15" hidden="false" customHeight="false" outlineLevel="0" collapsed="false">
      <c r="A160" s="2" t="n">
        <v>159</v>
      </c>
      <c r="B160" s="2" t="s">
        <v>103</v>
      </c>
      <c r="C160" s="2" t="s">
        <v>283</v>
      </c>
      <c r="D160" s="2" t="s">
        <v>43</v>
      </c>
      <c r="E160" s="2" t="s">
        <v>44</v>
      </c>
      <c r="F160" s="2" t="s">
        <v>22</v>
      </c>
      <c r="G160" s="9" t="n">
        <v>76437</v>
      </c>
      <c r="H160" s="9" t="n">
        <v>70255</v>
      </c>
      <c r="I160" s="9" t="n">
        <v>177637</v>
      </c>
      <c r="J160" s="10" t="n">
        <f aca="false">G160-H160</f>
        <v>6182</v>
      </c>
      <c r="K160" s="11" t="n">
        <f aca="false">J160/I160</f>
        <v>0.034801308285999</v>
      </c>
      <c r="L160" s="11" t="n">
        <f aca="false">I160/N160</f>
        <v>0.579562286706123</v>
      </c>
      <c r="M160" s="4" t="n">
        <f aca="false">INDEX('Lok Sabha seats'!$E:$E,MATCH(D160,'Lok Sabha seats'!$A:$A,0))</f>
        <v>0.0360944228765342</v>
      </c>
      <c r="N160" s="9" t="n">
        <v>306502</v>
      </c>
      <c r="O160" s="15"/>
      <c r="P160" s="10" t="n">
        <f aca="false">IF(O160&lt;&gt;"",O160,ROUND(N160*M160/(1+M160),0))</f>
        <v>10678</v>
      </c>
      <c r="Q160" s="16" t="n">
        <f aca="false">P160/J160</f>
        <v>1.72727272727273</v>
      </c>
      <c r="R160" s="2" t="str">
        <f aca="false">IF(P160&gt;J160,"Yes","No")</f>
        <v>Yes</v>
      </c>
      <c r="S160" s="2" t="str">
        <f aca="false">IF(P160*L160&gt;J160,"Yes","No")</f>
        <v>Yes</v>
      </c>
      <c r="T160" s="2" t="s">
        <v>171</v>
      </c>
    </row>
    <row r="161" customFormat="false" ht="15" hidden="false" customHeight="false" outlineLevel="0" collapsed="false">
      <c r="A161" s="2" t="n">
        <v>160</v>
      </c>
      <c r="B161" s="2" t="s">
        <v>288</v>
      </c>
      <c r="C161" s="2" t="s">
        <v>283</v>
      </c>
      <c r="D161" s="2" t="s">
        <v>102</v>
      </c>
      <c r="E161" s="2" t="s">
        <v>17</v>
      </c>
      <c r="F161" s="2" t="s">
        <v>18</v>
      </c>
      <c r="G161" s="9" t="n">
        <v>114203</v>
      </c>
      <c r="H161" s="9" t="n">
        <v>30610</v>
      </c>
      <c r="I161" s="9" t="n">
        <v>157761</v>
      </c>
      <c r="J161" s="10" t="n">
        <f aca="false">G161-H161</f>
        <v>83593</v>
      </c>
      <c r="K161" s="11" t="n">
        <f aca="false">J161/I161</f>
        <v>0.529871134183987</v>
      </c>
      <c r="L161" s="11" t="n">
        <f aca="false">I161/N161</f>
        <v>0.549885325098119</v>
      </c>
      <c r="M161" s="4" t="n">
        <f aca="false">INDEX('Lok Sabha seats'!$E:$E,MATCH(D161,'Lok Sabha seats'!$A:$A,0))</f>
        <v>0.0323227785436841</v>
      </c>
      <c r="N161" s="9" t="n">
        <v>286898</v>
      </c>
      <c r="O161" s="15"/>
      <c r="P161" s="10" t="n">
        <f aca="false">IF(O161&lt;&gt;"",O161,ROUND(N161*M161/(1+M161),0))</f>
        <v>8983</v>
      </c>
      <c r="Q161" s="16" t="n">
        <f aca="false">P161/J161</f>
        <v>0.107461151053318</v>
      </c>
      <c r="R161" s="2" t="str">
        <f aca="false">IF(P161&gt;J161,"Yes","No")</f>
        <v>No</v>
      </c>
      <c r="S161" s="2" t="str">
        <f aca="false">IF(P161*L161&gt;J161,"Yes","No")</f>
        <v>No</v>
      </c>
      <c r="T161" s="2" t="s">
        <v>171</v>
      </c>
    </row>
    <row r="162" customFormat="false" ht="15" hidden="false" customHeight="false" outlineLevel="0" collapsed="false">
      <c r="A162" s="2" t="n">
        <v>161</v>
      </c>
      <c r="B162" s="2" t="s">
        <v>289</v>
      </c>
      <c r="C162" s="2" t="s">
        <v>283</v>
      </c>
      <c r="D162" s="2" t="s">
        <v>102</v>
      </c>
      <c r="E162" s="2" t="s">
        <v>17</v>
      </c>
      <c r="F162" s="2" t="s">
        <v>18</v>
      </c>
      <c r="G162" s="9" t="n">
        <v>127355</v>
      </c>
      <c r="H162" s="9" t="n">
        <v>36201</v>
      </c>
      <c r="I162" s="9" t="n">
        <v>183403</v>
      </c>
      <c r="J162" s="10" t="n">
        <f aca="false">G162-H162</f>
        <v>91154</v>
      </c>
      <c r="K162" s="11" t="n">
        <f aca="false">J162/I162</f>
        <v>0.497014770750751</v>
      </c>
      <c r="L162" s="11" t="n">
        <f aca="false">I162/N162</f>
        <v>0.577800110895481</v>
      </c>
      <c r="M162" s="4" t="n">
        <f aca="false">INDEX('Lok Sabha seats'!$E:$E,MATCH(D162,'Lok Sabha seats'!$A:$A,0))</f>
        <v>0.0323227785436841</v>
      </c>
      <c r="N162" s="9" t="n">
        <v>317416</v>
      </c>
      <c r="O162" s="15"/>
      <c r="P162" s="10" t="n">
        <f aca="false">IF(O162&lt;&gt;"",O162,ROUND(N162*M162/(1+M162),0))</f>
        <v>9939</v>
      </c>
      <c r="Q162" s="16" t="n">
        <f aca="false">P162/J162</f>
        <v>0.109035259012221</v>
      </c>
      <c r="R162" s="2" t="str">
        <f aca="false">IF(P162&gt;J162,"Yes","No")</f>
        <v>No</v>
      </c>
      <c r="S162" s="2" t="str">
        <f aca="false">IF(P162*L162&gt;J162,"Yes","No")</f>
        <v>No</v>
      </c>
      <c r="T162" s="2" t="s">
        <v>171</v>
      </c>
    </row>
    <row r="163" customFormat="false" ht="15" hidden="false" customHeight="false" outlineLevel="0" collapsed="false">
      <c r="A163" s="2" t="n">
        <v>162</v>
      </c>
      <c r="B163" s="2" t="s">
        <v>101</v>
      </c>
      <c r="C163" s="2" t="s">
        <v>283</v>
      </c>
      <c r="D163" s="2" t="s">
        <v>102</v>
      </c>
      <c r="E163" s="2" t="s">
        <v>21</v>
      </c>
      <c r="F163" s="2" t="s">
        <v>22</v>
      </c>
      <c r="G163" s="9" t="n">
        <v>98202</v>
      </c>
      <c r="H163" s="9" t="n">
        <v>91975</v>
      </c>
      <c r="I163" s="9" t="n">
        <v>197153</v>
      </c>
      <c r="J163" s="10" t="n">
        <f aca="false">G163-H163</f>
        <v>6227</v>
      </c>
      <c r="K163" s="11" t="n">
        <f aca="false">J163/I163</f>
        <v>0.0315846068789214</v>
      </c>
      <c r="L163" s="11" t="n">
        <f aca="false">I163/N163</f>
        <v>0.550831333346372</v>
      </c>
      <c r="M163" s="4" t="n">
        <f aca="false">INDEX('Lok Sabha seats'!$E:$E,MATCH(D163,'Lok Sabha seats'!$A:$A,0))</f>
        <v>0.0323227785436841</v>
      </c>
      <c r="N163" s="9" t="n">
        <v>357919</v>
      </c>
      <c r="O163" s="15"/>
      <c r="P163" s="10" t="n">
        <f aca="false">IF(O163&lt;&gt;"",O163,ROUND(N163*M163/(1+M163),0))</f>
        <v>11207</v>
      </c>
      <c r="Q163" s="16" t="n">
        <f aca="false">P163/J163</f>
        <v>1.79974305444034</v>
      </c>
      <c r="R163" s="2" t="str">
        <f aca="false">IF(P163&gt;J163,"Yes","No")</f>
        <v>Yes</v>
      </c>
      <c r="S163" s="2" t="str">
        <f aca="false">IF(P163*L163&gt;J163,"Yes","No")</f>
        <v>No</v>
      </c>
      <c r="T163" s="2" t="s">
        <v>171</v>
      </c>
    </row>
    <row r="164" customFormat="false" ht="15" hidden="false" customHeight="false" outlineLevel="0" collapsed="false">
      <c r="A164" s="2" t="n">
        <v>163</v>
      </c>
      <c r="B164" s="2" t="s">
        <v>290</v>
      </c>
      <c r="C164" s="2" t="s">
        <v>283</v>
      </c>
      <c r="D164" s="2" t="s">
        <v>43</v>
      </c>
      <c r="E164" s="2" t="s">
        <v>17</v>
      </c>
      <c r="F164" s="2" t="s">
        <v>18</v>
      </c>
      <c r="G164" s="9" t="n">
        <v>96364</v>
      </c>
      <c r="H164" s="9" t="n">
        <v>72764</v>
      </c>
      <c r="I164" s="9" t="n">
        <v>183936</v>
      </c>
      <c r="J164" s="10" t="n">
        <f aca="false">G164-H164</f>
        <v>23600</v>
      </c>
      <c r="K164" s="11" t="n">
        <f aca="false">J164/I164</f>
        <v>0.12830549756437</v>
      </c>
      <c r="L164" s="11" t="n">
        <f aca="false">I164/N164</f>
        <v>0.558715964181136</v>
      </c>
      <c r="M164" s="4" t="n">
        <f aca="false">INDEX('Lok Sabha seats'!$E:$E,MATCH(D164,'Lok Sabha seats'!$A:$A,0))</f>
        <v>0.0360944228765342</v>
      </c>
      <c r="N164" s="9" t="n">
        <v>329212</v>
      </c>
      <c r="O164" s="15"/>
      <c r="P164" s="10" t="n">
        <f aca="false">IF(O164&lt;&gt;"",O164,ROUND(N164*M164/(1+M164),0))</f>
        <v>11469</v>
      </c>
      <c r="Q164" s="16" t="n">
        <f aca="false">P164/J164</f>
        <v>0.485974576271186</v>
      </c>
      <c r="R164" s="2" t="str">
        <f aca="false">IF(P164&gt;J164,"Yes","No")</f>
        <v>No</v>
      </c>
      <c r="S164" s="2" t="str">
        <f aca="false">IF(P164*L164&gt;J164,"Yes","No")</f>
        <v>No</v>
      </c>
      <c r="T164" s="2" t="s">
        <v>171</v>
      </c>
    </row>
    <row r="165" customFormat="false" ht="15" hidden="false" customHeight="false" outlineLevel="0" collapsed="false">
      <c r="A165" s="2" t="n">
        <v>164</v>
      </c>
      <c r="B165" s="2" t="s">
        <v>47</v>
      </c>
      <c r="C165" s="2" t="s">
        <v>283</v>
      </c>
      <c r="D165" s="2" t="s">
        <v>43</v>
      </c>
      <c r="E165" s="2" t="s">
        <v>44</v>
      </c>
      <c r="F165" s="2" t="s">
        <v>22</v>
      </c>
      <c r="G165" s="9" t="n">
        <v>65396</v>
      </c>
      <c r="H165" s="9" t="n">
        <v>63796</v>
      </c>
      <c r="I165" s="9" t="n">
        <v>147921</v>
      </c>
      <c r="J165" s="10" t="n">
        <f aca="false">G165-H165</f>
        <v>1600</v>
      </c>
      <c r="K165" s="11" t="n">
        <f aca="false">J165/I165</f>
        <v>0.0108165845282279</v>
      </c>
      <c r="L165" s="11" t="n">
        <f aca="false">I165/N165</f>
        <v>0.51592370017195</v>
      </c>
      <c r="M165" s="4" t="n">
        <f aca="false">INDEX('Lok Sabha seats'!$E:$E,MATCH(D165,'Lok Sabha seats'!$A:$A,0))</f>
        <v>0.0360944228765342</v>
      </c>
      <c r="N165" s="9" t="n">
        <v>286711</v>
      </c>
      <c r="O165" s="15"/>
      <c r="P165" s="10" t="n">
        <f aca="false">IF(O165&lt;&gt;"",O165,ROUND(N165*M165/(1+M165),0))</f>
        <v>9988</v>
      </c>
      <c r="Q165" s="16" t="n">
        <f aca="false">P165/J165</f>
        <v>6.2425</v>
      </c>
      <c r="R165" s="2" t="str">
        <f aca="false">IF(P165&gt;J165,"Yes","No")</f>
        <v>Yes</v>
      </c>
      <c r="S165" s="2" t="str">
        <f aca="false">IF(P165*L165&gt;J165,"Yes","No")</f>
        <v>Yes</v>
      </c>
      <c r="T165" s="2" t="s">
        <v>171</v>
      </c>
    </row>
    <row r="166" customFormat="false" ht="15" hidden="false" customHeight="false" outlineLevel="0" collapsed="false">
      <c r="A166" s="2" t="n">
        <v>165</v>
      </c>
      <c r="B166" s="2" t="s">
        <v>291</v>
      </c>
      <c r="C166" s="2" t="s">
        <v>283</v>
      </c>
      <c r="D166" s="2" t="s">
        <v>43</v>
      </c>
      <c r="E166" s="2" t="s">
        <v>17</v>
      </c>
      <c r="F166" s="2" t="s">
        <v>18</v>
      </c>
      <c r="G166" s="9" t="n">
        <v>84981</v>
      </c>
      <c r="H166" s="9" t="n">
        <v>65382</v>
      </c>
      <c r="I166" s="9" t="n">
        <v>155216</v>
      </c>
      <c r="J166" s="10" t="n">
        <f aca="false">G166-H166</f>
        <v>19599</v>
      </c>
      <c r="K166" s="11" t="n">
        <f aca="false">J166/I166</f>
        <v>0.126269199051644</v>
      </c>
      <c r="L166" s="11" t="n">
        <f aca="false">I166/N166</f>
        <v>0.538710629067245</v>
      </c>
      <c r="M166" s="4" t="n">
        <f aca="false">INDEX('Lok Sabha seats'!$E:$E,MATCH(D166,'Lok Sabha seats'!$A:$A,0))</f>
        <v>0.0360944228765342</v>
      </c>
      <c r="N166" s="9" t="n">
        <v>288125</v>
      </c>
      <c r="O166" s="15"/>
      <c r="P166" s="10" t="n">
        <f aca="false">IF(O166&lt;&gt;"",O166,ROUND(N166*M166/(1+M166),0))</f>
        <v>10037</v>
      </c>
      <c r="Q166" s="16" t="n">
        <f aca="false">P166/J166</f>
        <v>0.512117965202306</v>
      </c>
      <c r="R166" s="2" t="str">
        <f aca="false">IF(P166&gt;J166,"Yes","No")</f>
        <v>No</v>
      </c>
      <c r="S166" s="2" t="str">
        <f aca="false">IF(P166*L166&gt;J166,"Yes","No")</f>
        <v>No</v>
      </c>
      <c r="T166" s="2" t="s">
        <v>171</v>
      </c>
    </row>
    <row r="167" customFormat="false" ht="15" hidden="false" customHeight="false" outlineLevel="0" collapsed="false">
      <c r="A167" s="2" t="n">
        <v>166</v>
      </c>
      <c r="B167" s="2" t="s">
        <v>292</v>
      </c>
      <c r="C167" s="2" t="s">
        <v>283</v>
      </c>
      <c r="D167" s="2" t="s">
        <v>43</v>
      </c>
      <c r="E167" s="2" t="s">
        <v>27</v>
      </c>
      <c r="F167" s="2" t="s">
        <v>18</v>
      </c>
      <c r="G167" s="9" t="n">
        <v>94010</v>
      </c>
      <c r="H167" s="9" t="n">
        <v>68524</v>
      </c>
      <c r="I167" s="9" t="n">
        <v>168900</v>
      </c>
      <c r="J167" s="10" t="n">
        <f aca="false">G167-H167</f>
        <v>25486</v>
      </c>
      <c r="K167" s="11" t="n">
        <f aca="false">J167/I167</f>
        <v>0.150894020130255</v>
      </c>
      <c r="L167" s="11" t="n">
        <f aca="false">I167/N167</f>
        <v>0.586153045288912</v>
      </c>
      <c r="M167" s="4" t="n">
        <f aca="false">INDEX('Lok Sabha seats'!$E:$E,MATCH(D167,'Lok Sabha seats'!$A:$A,0))</f>
        <v>0.0360944228765342</v>
      </c>
      <c r="N167" s="9" t="n">
        <v>288150</v>
      </c>
      <c r="O167" s="15"/>
      <c r="P167" s="10" t="n">
        <f aca="false">IF(O167&lt;&gt;"",O167,ROUND(N167*M167/(1+M167),0))</f>
        <v>10038</v>
      </c>
      <c r="Q167" s="16" t="n">
        <f aca="false">P167/J167</f>
        <v>0.393863297496665</v>
      </c>
      <c r="R167" s="2" t="str">
        <f aca="false">IF(P167&gt;J167,"Yes","No")</f>
        <v>No</v>
      </c>
      <c r="S167" s="2" t="str">
        <f aca="false">IF(P167*L167&gt;J167,"Yes","No")</f>
        <v>No</v>
      </c>
      <c r="T167" s="2" t="s">
        <v>171</v>
      </c>
    </row>
    <row r="168" customFormat="false" ht="15" hidden="false" customHeight="false" outlineLevel="0" collapsed="false">
      <c r="A168" s="2" t="n">
        <v>167</v>
      </c>
      <c r="B168" s="2" t="s">
        <v>293</v>
      </c>
      <c r="C168" s="2" t="s">
        <v>283</v>
      </c>
      <c r="D168" s="2" t="s">
        <v>94</v>
      </c>
      <c r="E168" s="2" t="s">
        <v>17</v>
      </c>
      <c r="F168" s="2" t="s">
        <v>18</v>
      </c>
      <c r="G168" s="9" t="n">
        <v>97259</v>
      </c>
      <c r="H168" s="9" t="n">
        <v>42324</v>
      </c>
      <c r="I168" s="9" t="n">
        <v>157628</v>
      </c>
      <c r="J168" s="10" t="n">
        <f aca="false">G168-H168</f>
        <v>54935</v>
      </c>
      <c r="K168" s="11" t="n">
        <f aca="false">J168/I168</f>
        <v>0.348510416931002</v>
      </c>
      <c r="L168" s="11" t="n">
        <f aca="false">I168/N168</f>
        <v>0.572516117315899</v>
      </c>
      <c r="M168" s="4" t="n">
        <f aca="false">INDEX('Lok Sabha seats'!$E:$E,MATCH(D168,'Lok Sabha seats'!$A:$A,0))</f>
        <v>0.0321163354983121</v>
      </c>
      <c r="N168" s="9" t="n">
        <v>275325</v>
      </c>
      <c r="O168" s="15"/>
      <c r="P168" s="10" t="n">
        <f aca="false">IF(O168&lt;&gt;"",O168,ROUND(N168*M168/(1+M168),0))</f>
        <v>8567</v>
      </c>
      <c r="Q168" s="16" t="n">
        <f aca="false">P168/J168</f>
        <v>0.155947938472741</v>
      </c>
      <c r="R168" s="2" t="str">
        <f aca="false">IF(P168&gt;J168,"Yes","No")</f>
        <v>No</v>
      </c>
      <c r="S168" s="2" t="str">
        <f aca="false">IF(P168*L168&gt;J168,"Yes","No")</f>
        <v>No</v>
      </c>
      <c r="T168" s="2" t="s">
        <v>294</v>
      </c>
    </row>
    <row r="169" customFormat="false" ht="15" hidden="false" customHeight="false" outlineLevel="0" collapsed="false">
      <c r="A169" s="2" t="n">
        <v>168</v>
      </c>
      <c r="B169" s="2" t="s">
        <v>295</v>
      </c>
      <c r="C169" s="2" t="s">
        <v>283</v>
      </c>
      <c r="D169" s="2" t="s">
        <v>94</v>
      </c>
      <c r="E169" s="2" t="s">
        <v>27</v>
      </c>
      <c r="F169" s="2" t="s">
        <v>18</v>
      </c>
      <c r="G169" s="9" t="n">
        <v>124641</v>
      </c>
      <c r="H169" s="9" t="n">
        <v>104016</v>
      </c>
      <c r="I169" s="9" t="n">
        <v>240153</v>
      </c>
      <c r="J169" s="10" t="n">
        <f aca="false">G169-H169</f>
        <v>20625</v>
      </c>
      <c r="K169" s="11" t="n">
        <f aca="false">J169/I169</f>
        <v>0.0858827497470363</v>
      </c>
      <c r="L169" s="11" t="n">
        <f aca="false">I169/N169</f>
        <v>0.530135562016146</v>
      </c>
      <c r="M169" s="4" t="n">
        <f aca="false">INDEX('Lok Sabha seats'!$E:$E,MATCH(D169,'Lok Sabha seats'!$A:$A,0))</f>
        <v>0.0321163354983121</v>
      </c>
      <c r="N169" s="9" t="n">
        <v>453003</v>
      </c>
      <c r="O169" s="15"/>
      <c r="P169" s="10" t="n">
        <f aca="false">IF(O169&lt;&gt;"",O169,ROUND(N169*M169/(1+M169),0))</f>
        <v>14096</v>
      </c>
      <c r="Q169" s="16" t="n">
        <f aca="false">P169/J169</f>
        <v>0.683442424242424</v>
      </c>
      <c r="R169" s="2" t="str">
        <f aca="false">IF(P169&gt;J169,"Yes","No")</f>
        <v>No</v>
      </c>
      <c r="S169" s="2" t="str">
        <f aca="false">IF(P169*L169&gt;J169,"Yes","No")</f>
        <v>No</v>
      </c>
      <c r="T169" s="2" t="s">
        <v>294</v>
      </c>
    </row>
    <row r="170" customFormat="false" ht="15" hidden="false" customHeight="false" outlineLevel="0" collapsed="false">
      <c r="A170" s="2" t="n">
        <v>169</v>
      </c>
      <c r="B170" s="2" t="s">
        <v>296</v>
      </c>
      <c r="C170" s="2" t="s">
        <v>283</v>
      </c>
      <c r="D170" s="2" t="s">
        <v>116</v>
      </c>
      <c r="E170" s="2" t="s">
        <v>17</v>
      </c>
      <c r="F170" s="2" t="s">
        <v>18</v>
      </c>
      <c r="G170" s="9" t="n">
        <v>73171</v>
      </c>
      <c r="H170" s="9" t="n">
        <v>60200</v>
      </c>
      <c r="I170" s="9" t="n">
        <v>167283</v>
      </c>
      <c r="J170" s="10" t="n">
        <f aca="false">G170-H170</f>
        <v>12971</v>
      </c>
      <c r="K170" s="11" t="n">
        <f aca="false">J170/I170</f>
        <v>0.077539259817196</v>
      </c>
      <c r="L170" s="11" t="n">
        <f aca="false">I170/N170</f>
        <v>0.602752115071415</v>
      </c>
      <c r="M170" s="4" t="n">
        <f aca="false">INDEX('Lok Sabha seats'!$E:$E,MATCH(D170,'Lok Sabha seats'!$A:$A,0))</f>
        <v>0.0322715637581023</v>
      </c>
      <c r="N170" s="9" t="n">
        <v>277532</v>
      </c>
      <c r="O170" s="15"/>
      <c r="P170" s="10" t="n">
        <f aca="false">IF(O170&lt;&gt;"",O170,ROUND(N170*M170/(1+M170),0))</f>
        <v>8676</v>
      </c>
      <c r="Q170" s="16" t="n">
        <f aca="false">P170/J170</f>
        <v>0.668876725001927</v>
      </c>
      <c r="R170" s="2" t="str">
        <f aca="false">IF(P170&gt;J170,"Yes","No")</f>
        <v>No</v>
      </c>
      <c r="S170" s="2" t="str">
        <f aca="false">IF(P170*L170&gt;J170,"Yes","No")</f>
        <v>No</v>
      </c>
      <c r="T170" s="2" t="s">
        <v>294</v>
      </c>
    </row>
    <row r="171" customFormat="false" ht="15" hidden="false" customHeight="false" outlineLevel="0" collapsed="false">
      <c r="A171" s="2" t="n">
        <v>170</v>
      </c>
      <c r="B171" s="2" t="s">
        <v>297</v>
      </c>
      <c r="C171" s="2" t="s">
        <v>283</v>
      </c>
      <c r="D171" s="2" t="s">
        <v>116</v>
      </c>
      <c r="E171" s="2" t="s">
        <v>17</v>
      </c>
      <c r="F171" s="2" t="s">
        <v>18</v>
      </c>
      <c r="G171" s="9" t="n">
        <v>85388</v>
      </c>
      <c r="H171" s="9" t="n">
        <v>50389</v>
      </c>
      <c r="I171" s="9" t="n">
        <v>149493</v>
      </c>
      <c r="J171" s="10" t="n">
        <f aca="false">G171-H171</f>
        <v>34999</v>
      </c>
      <c r="K171" s="11" t="n">
        <f aca="false">J171/I171</f>
        <v>0.234117985457513</v>
      </c>
      <c r="L171" s="11" t="n">
        <f aca="false">I171/N171</f>
        <v>0.599076697430061</v>
      </c>
      <c r="M171" s="4" t="n">
        <f aca="false">INDEX('Lok Sabha seats'!$E:$E,MATCH(D171,'Lok Sabha seats'!$A:$A,0))</f>
        <v>0.0322715637581023</v>
      </c>
      <c r="N171" s="9" t="n">
        <v>249539</v>
      </c>
      <c r="O171" s="15"/>
      <c r="P171" s="10" t="n">
        <f aca="false">IF(O171&lt;&gt;"",O171,ROUND(N171*M171/(1+M171),0))</f>
        <v>7801</v>
      </c>
      <c r="Q171" s="16" t="n">
        <f aca="false">P171/J171</f>
        <v>0.222892082630932</v>
      </c>
      <c r="R171" s="2" t="str">
        <f aca="false">IF(P171&gt;J171,"Yes","No")</f>
        <v>No</v>
      </c>
      <c r="S171" s="2" t="str">
        <f aca="false">IF(P171*L171&gt;J171,"Yes","No")</f>
        <v>No</v>
      </c>
      <c r="T171" s="2" t="s">
        <v>294</v>
      </c>
    </row>
    <row r="172" customFormat="false" ht="15" hidden="false" customHeight="false" outlineLevel="0" collapsed="false">
      <c r="A172" s="2" t="n">
        <v>171</v>
      </c>
      <c r="B172" s="2" t="s">
        <v>298</v>
      </c>
      <c r="C172" s="2" t="s">
        <v>283</v>
      </c>
      <c r="D172" s="2" t="s">
        <v>116</v>
      </c>
      <c r="E172" s="2" t="s">
        <v>270</v>
      </c>
      <c r="F172" s="2" t="s">
        <v>13</v>
      </c>
      <c r="G172" s="9" t="n">
        <v>54780</v>
      </c>
      <c r="H172" s="9" t="n">
        <v>42027</v>
      </c>
      <c r="I172" s="9" t="n">
        <v>174574</v>
      </c>
      <c r="J172" s="10" t="n">
        <f aca="false">G172-H172</f>
        <v>12753</v>
      </c>
      <c r="K172" s="11" t="n">
        <f aca="false">J172/I172</f>
        <v>0.0730521154352882</v>
      </c>
      <c r="L172" s="11" t="n">
        <f aca="false">I172/N172</f>
        <v>0.522463906912156</v>
      </c>
      <c r="M172" s="4" t="n">
        <f aca="false">INDEX('Lok Sabha seats'!$E:$E,MATCH(D172,'Lok Sabha seats'!$A:$A,0))</f>
        <v>0.0322715637581023</v>
      </c>
      <c r="N172" s="9" t="n">
        <v>334136</v>
      </c>
      <c r="O172" s="15"/>
      <c r="P172" s="10" t="n">
        <f aca="false">IF(O172&lt;&gt;"",O172,ROUND(N172*M172/(1+M172),0))</f>
        <v>10446</v>
      </c>
      <c r="Q172" s="16" t="n">
        <f aca="false">P172/J172</f>
        <v>0.819101387908727</v>
      </c>
      <c r="R172" s="2" t="str">
        <f aca="false">IF(P172&gt;J172,"Yes","No")</f>
        <v>No</v>
      </c>
      <c r="S172" s="2" t="str">
        <f aca="false">IF(P172*L172&gt;J172,"Yes","No")</f>
        <v>No</v>
      </c>
      <c r="T172" s="2" t="s">
        <v>294</v>
      </c>
    </row>
    <row r="173" customFormat="false" ht="15" hidden="false" customHeight="false" outlineLevel="0" collapsed="false">
      <c r="A173" s="2" t="n">
        <v>172</v>
      </c>
      <c r="B173" s="2" t="s">
        <v>109</v>
      </c>
      <c r="C173" s="2" t="s">
        <v>283</v>
      </c>
      <c r="D173" s="2" t="s">
        <v>74</v>
      </c>
      <c r="E173" s="2" t="s">
        <v>25</v>
      </c>
      <c r="F173" s="2" t="s">
        <v>18</v>
      </c>
      <c r="G173" s="9" t="n">
        <v>49341</v>
      </c>
      <c r="H173" s="9" t="n">
        <v>45963</v>
      </c>
      <c r="I173" s="9" t="n">
        <v>146075</v>
      </c>
      <c r="J173" s="10" t="n">
        <f aca="false">G173-H173</f>
        <v>3378</v>
      </c>
      <c r="K173" s="11" t="n">
        <f aca="false">J173/I173</f>
        <v>0.0231251069655999</v>
      </c>
      <c r="L173" s="11" t="n">
        <f aca="false">I173/N173</f>
        <v>0.542890485340192</v>
      </c>
      <c r="M173" s="4" t="n">
        <f aca="false">INDEX('Lok Sabha seats'!$E:$E,MATCH(D173,'Lok Sabha seats'!$A:$A,0))</f>
        <v>0.0204075542337417</v>
      </c>
      <c r="N173" s="9" t="n">
        <v>269069</v>
      </c>
      <c r="O173" s="15"/>
      <c r="P173" s="10" t="n">
        <f aca="false">IF(O173&lt;&gt;"",O173,ROUND(N173*M173/(1+M173),0))</f>
        <v>5381</v>
      </c>
      <c r="Q173" s="16" t="n">
        <f aca="false">P173/J173</f>
        <v>1.59295441089402</v>
      </c>
      <c r="R173" s="2" t="str">
        <f aca="false">IF(P173&gt;J173,"Yes","No")</f>
        <v>Yes</v>
      </c>
      <c r="S173" s="2" t="str">
        <f aca="false">IF(P173*L173&gt;J173,"Yes","No")</f>
        <v>No</v>
      </c>
      <c r="T173" s="2" t="s">
        <v>294</v>
      </c>
    </row>
    <row r="174" customFormat="false" ht="15" hidden="false" customHeight="false" outlineLevel="0" collapsed="false">
      <c r="A174" s="2" t="n">
        <v>173</v>
      </c>
      <c r="B174" s="2" t="s">
        <v>299</v>
      </c>
      <c r="C174" s="2" t="s">
        <v>283</v>
      </c>
      <c r="D174" s="2" t="s">
        <v>74</v>
      </c>
      <c r="E174" s="2" t="s">
        <v>27</v>
      </c>
      <c r="F174" s="2" t="s">
        <v>18</v>
      </c>
      <c r="G174" s="9" t="n">
        <v>63194</v>
      </c>
      <c r="H174" s="9" t="n">
        <v>52483</v>
      </c>
      <c r="I174" s="9" t="n">
        <v>143031</v>
      </c>
      <c r="J174" s="10" t="n">
        <f aca="false">G174-H174</f>
        <v>10711</v>
      </c>
      <c r="K174" s="11" t="n">
        <f aca="false">J174/I174</f>
        <v>0.0748858639036293</v>
      </c>
      <c r="L174" s="11" t="n">
        <f aca="false">I174/N174</f>
        <v>0.552356273677625</v>
      </c>
      <c r="M174" s="4" t="n">
        <f aca="false">INDEX('Lok Sabha seats'!$E:$E,MATCH(D174,'Lok Sabha seats'!$A:$A,0))</f>
        <v>0.0204075542337417</v>
      </c>
      <c r="N174" s="9" t="n">
        <v>258947</v>
      </c>
      <c r="O174" s="15"/>
      <c r="P174" s="10" t="n">
        <f aca="false">IF(O174&lt;&gt;"",O174,ROUND(N174*M174/(1+M174),0))</f>
        <v>5179</v>
      </c>
      <c r="Q174" s="16" t="n">
        <f aca="false">P174/J174</f>
        <v>0.483521613294744</v>
      </c>
      <c r="R174" s="2" t="str">
        <f aca="false">IF(P174&gt;J174,"Yes","No")</f>
        <v>No</v>
      </c>
      <c r="S174" s="2" t="str">
        <f aca="false">IF(P174*L174&gt;J174,"Yes","No")</f>
        <v>No</v>
      </c>
      <c r="T174" s="2" t="s">
        <v>294</v>
      </c>
    </row>
    <row r="175" customFormat="false" ht="15" hidden="false" customHeight="false" outlineLevel="0" collapsed="false">
      <c r="A175" s="2" t="n">
        <v>174</v>
      </c>
      <c r="B175" s="2" t="s">
        <v>93</v>
      </c>
      <c r="C175" s="2" t="s">
        <v>283</v>
      </c>
      <c r="D175" s="2" t="s">
        <v>94</v>
      </c>
      <c r="E175" s="2" t="s">
        <v>27</v>
      </c>
      <c r="F175" s="2" t="s">
        <v>18</v>
      </c>
      <c r="G175" s="9" t="n">
        <v>72763</v>
      </c>
      <c r="H175" s="9" t="n">
        <v>68576</v>
      </c>
      <c r="I175" s="9" t="n">
        <v>156292</v>
      </c>
      <c r="J175" s="10" t="n">
        <f aca="false">G175-H175</f>
        <v>4187</v>
      </c>
      <c r="K175" s="11" t="n">
        <f aca="false">J175/I175</f>
        <v>0.0267895989558007</v>
      </c>
      <c r="L175" s="11" t="n">
        <f aca="false">I175/N175</f>
        <v>0.534828969161066</v>
      </c>
      <c r="M175" s="4" t="n">
        <f aca="false">INDEX('Lok Sabha seats'!$E:$E,MATCH(D175,'Lok Sabha seats'!$A:$A,0))</f>
        <v>0.0321163354983121</v>
      </c>
      <c r="N175" s="9" t="n">
        <v>292228</v>
      </c>
      <c r="O175" s="15"/>
      <c r="P175" s="10" t="n">
        <f aca="false">IF(O175&lt;&gt;"",O175,ROUND(N175*M175/(1+M175),0))</f>
        <v>9093</v>
      </c>
      <c r="Q175" s="16" t="n">
        <f aca="false">P175/J175</f>
        <v>2.17172199665632</v>
      </c>
      <c r="R175" s="2" t="str">
        <f aca="false">IF(P175&gt;J175,"Yes","No")</f>
        <v>Yes</v>
      </c>
      <c r="S175" s="2" t="str">
        <f aca="false">IF(P175*L175&gt;J175,"Yes","No")</f>
        <v>Yes</v>
      </c>
      <c r="T175" s="2" t="s">
        <v>294</v>
      </c>
    </row>
    <row r="176" customFormat="false" ht="15" hidden="false" customHeight="false" outlineLevel="0" collapsed="false">
      <c r="A176" s="2" t="n">
        <v>175</v>
      </c>
      <c r="B176" s="2" t="s">
        <v>113</v>
      </c>
      <c r="C176" s="2" t="s">
        <v>283</v>
      </c>
      <c r="D176" s="2" t="s">
        <v>94</v>
      </c>
      <c r="E176" s="2" t="s">
        <v>44</v>
      </c>
      <c r="F176" s="2" t="s">
        <v>22</v>
      </c>
      <c r="G176" s="9" t="n">
        <v>59820</v>
      </c>
      <c r="H176" s="9" t="n">
        <v>54812</v>
      </c>
      <c r="I176" s="9" t="n">
        <v>127844</v>
      </c>
      <c r="J176" s="10" t="n">
        <f aca="false">G176-H176</f>
        <v>5008</v>
      </c>
      <c r="K176" s="11" t="n">
        <f aca="false">J176/I176</f>
        <v>0.0391727417790432</v>
      </c>
      <c r="L176" s="11" t="n">
        <f aca="false">I176/N176</f>
        <v>0.528855739915694</v>
      </c>
      <c r="M176" s="4" t="n">
        <f aca="false">INDEX('Lok Sabha seats'!$E:$E,MATCH(D176,'Lok Sabha seats'!$A:$A,0))</f>
        <v>0.0321163354983121</v>
      </c>
      <c r="N176" s="9" t="n">
        <v>241737</v>
      </c>
      <c r="O176" s="15"/>
      <c r="P176" s="10" t="n">
        <f aca="false">IF(O176&lt;&gt;"",O176,ROUND(N176*M176/(1+M176),0))</f>
        <v>7522</v>
      </c>
      <c r="Q176" s="16" t="n">
        <f aca="false">P176/J176</f>
        <v>1.50199680511182</v>
      </c>
      <c r="R176" s="2" t="str">
        <f aca="false">IF(P176&gt;J176,"Yes","No")</f>
        <v>Yes</v>
      </c>
      <c r="S176" s="2" t="str">
        <f aca="false">IF(P176*L176&gt;J176,"Yes","No")</f>
        <v>No</v>
      </c>
      <c r="T176" s="2" t="s">
        <v>294</v>
      </c>
    </row>
    <row r="177" customFormat="false" ht="15" hidden="false" customHeight="false" outlineLevel="0" collapsed="false">
      <c r="A177" s="2" t="n">
        <v>176</v>
      </c>
      <c r="B177" s="2" t="s">
        <v>300</v>
      </c>
      <c r="C177" s="2" t="s">
        <v>283</v>
      </c>
      <c r="D177" s="2" t="s">
        <v>94</v>
      </c>
      <c r="E177" s="2" t="s">
        <v>44</v>
      </c>
      <c r="F177" s="2" t="s">
        <v>22</v>
      </c>
      <c r="G177" s="9" t="n">
        <v>57708</v>
      </c>
      <c r="H177" s="9" t="n">
        <v>46343</v>
      </c>
      <c r="I177" s="9" t="n">
        <v>136542</v>
      </c>
      <c r="J177" s="10" t="n">
        <f aca="false">G177-H177</f>
        <v>11365</v>
      </c>
      <c r="K177" s="11" t="n">
        <f aca="false">J177/I177</f>
        <v>0.0832344626561791</v>
      </c>
      <c r="L177" s="11" t="n">
        <f aca="false">I177/N177</f>
        <v>0.548132506904747</v>
      </c>
      <c r="M177" s="4" t="n">
        <f aca="false">INDEX('Lok Sabha seats'!$E:$E,MATCH(D177,'Lok Sabha seats'!$A:$A,0))</f>
        <v>0.0321163354983121</v>
      </c>
      <c r="N177" s="9" t="n">
        <v>249104</v>
      </c>
      <c r="O177" s="15"/>
      <c r="P177" s="10" t="n">
        <f aca="false">IF(O177&lt;&gt;"",O177,ROUND(N177*M177/(1+M177),0))</f>
        <v>7751</v>
      </c>
      <c r="Q177" s="16" t="n">
        <f aca="false">P177/J177</f>
        <v>0.682006159260889</v>
      </c>
      <c r="R177" s="2" t="str">
        <f aca="false">IF(P177&gt;J177,"Yes","No")</f>
        <v>No</v>
      </c>
      <c r="S177" s="2" t="str">
        <f aca="false">IF(P177*L177&gt;J177,"Yes","No")</f>
        <v>No</v>
      </c>
      <c r="T177" s="2" t="s">
        <v>294</v>
      </c>
    </row>
    <row r="178" customFormat="false" ht="15" hidden="false" customHeight="false" outlineLevel="0" collapsed="false">
      <c r="A178" s="2" t="n">
        <v>177</v>
      </c>
      <c r="B178" s="2" t="s">
        <v>301</v>
      </c>
      <c r="C178" s="2" t="s">
        <v>283</v>
      </c>
      <c r="D178" s="2" t="s">
        <v>94</v>
      </c>
      <c r="E178" s="2" t="s">
        <v>17</v>
      </c>
      <c r="F178" s="2" t="s">
        <v>18</v>
      </c>
      <c r="G178" s="9" t="n">
        <v>82780</v>
      </c>
      <c r="H178" s="9" t="n">
        <v>62849</v>
      </c>
      <c r="I178" s="9" t="n">
        <v>149132</v>
      </c>
      <c r="J178" s="10" t="n">
        <f aca="false">G178-H178</f>
        <v>19931</v>
      </c>
      <c r="K178" s="11" t="n">
        <f aca="false">J178/I178</f>
        <v>0.133646702250355</v>
      </c>
      <c r="L178" s="11" t="n">
        <f aca="false">I178/N178</f>
        <v>0.51648161359811</v>
      </c>
      <c r="M178" s="4" t="n">
        <f aca="false">INDEX('Lok Sabha seats'!$E:$E,MATCH(D178,'Lok Sabha seats'!$A:$A,0))</f>
        <v>0.0321163354983121</v>
      </c>
      <c r="N178" s="9" t="n">
        <v>288746</v>
      </c>
      <c r="O178" s="15"/>
      <c r="P178" s="10" t="n">
        <f aca="false">IF(O178&lt;&gt;"",O178,ROUND(N178*M178/(1+M178),0))</f>
        <v>8985</v>
      </c>
      <c r="Q178" s="16" t="n">
        <f aca="false">P178/J178</f>
        <v>0.450805278209824</v>
      </c>
      <c r="R178" s="2" t="str">
        <f aca="false">IF(P178&gt;J178,"Yes","No")</f>
        <v>No</v>
      </c>
      <c r="S178" s="2" t="str">
        <f aca="false">IF(P178*L178&gt;J178,"Yes","No")</f>
        <v>No</v>
      </c>
      <c r="T178" s="2" t="s">
        <v>294</v>
      </c>
    </row>
    <row r="179" customFormat="false" ht="15" hidden="false" customHeight="false" outlineLevel="0" collapsed="false">
      <c r="A179" s="2" t="n">
        <v>178</v>
      </c>
      <c r="B179" s="2" t="s">
        <v>302</v>
      </c>
      <c r="C179" s="2" t="s">
        <v>303</v>
      </c>
      <c r="D179" s="2" t="s">
        <v>74</v>
      </c>
      <c r="E179" s="2" t="s">
        <v>21</v>
      </c>
      <c r="F179" s="2" t="s">
        <v>22</v>
      </c>
      <c r="G179" s="9" t="n">
        <v>70727</v>
      </c>
      <c r="H179" s="9" t="n">
        <v>47268</v>
      </c>
      <c r="I179" s="9" t="n">
        <v>131304</v>
      </c>
      <c r="J179" s="10" t="n">
        <f aca="false">G179-H179</f>
        <v>23459</v>
      </c>
      <c r="K179" s="11" t="n">
        <f aca="false">J179/I179</f>
        <v>0.178661731554256</v>
      </c>
      <c r="L179" s="11" t="n">
        <f aca="false">I179/N179</f>
        <v>0.501411010848936</v>
      </c>
      <c r="M179" s="4" t="n">
        <f aca="false">INDEX('Lok Sabha seats'!$E:$E,MATCH(D179,'Lok Sabha seats'!$A:$A,0))</f>
        <v>0.0204075542337417</v>
      </c>
      <c r="N179" s="9" t="n">
        <v>261869</v>
      </c>
      <c r="O179" s="15"/>
      <c r="P179" s="10" t="n">
        <f aca="false">IF(O179&lt;&gt;"",O179,ROUND(N179*M179/(1+M179),0))</f>
        <v>5237</v>
      </c>
      <c r="Q179" s="16" t="n">
        <f aca="false">P179/J179</f>
        <v>0.223240547337909</v>
      </c>
      <c r="R179" s="2" t="str">
        <f aca="false">IF(P179&gt;J179,"Yes","No")</f>
        <v>No</v>
      </c>
      <c r="S179" s="2" t="str">
        <f aca="false">IF(P179*L179&gt;J179,"Yes","No")</f>
        <v>No</v>
      </c>
      <c r="T179" s="2" t="s">
        <v>171</v>
      </c>
    </row>
    <row r="180" customFormat="false" ht="15" hidden="false" customHeight="false" outlineLevel="0" collapsed="false">
      <c r="A180" s="2" t="n">
        <v>179</v>
      </c>
      <c r="B180" s="2" t="s">
        <v>304</v>
      </c>
      <c r="C180" s="2" t="s">
        <v>303</v>
      </c>
      <c r="D180" s="2" t="s">
        <v>74</v>
      </c>
      <c r="E180" s="2" t="s">
        <v>17</v>
      </c>
      <c r="F180" s="2" t="s">
        <v>18</v>
      </c>
      <c r="G180" s="9" t="n">
        <v>73429</v>
      </c>
      <c r="H180" s="9" t="n">
        <v>65534</v>
      </c>
      <c r="I180" s="9" t="n">
        <v>152174</v>
      </c>
      <c r="J180" s="10" t="n">
        <f aca="false">G180-H180</f>
        <v>7895</v>
      </c>
      <c r="K180" s="11" t="n">
        <f aca="false">J180/I180</f>
        <v>0.0518813989249149</v>
      </c>
      <c r="L180" s="11" t="n">
        <f aca="false">I180/N180</f>
        <v>0.537202890518267</v>
      </c>
      <c r="M180" s="4" t="n">
        <f aca="false">INDEX('Lok Sabha seats'!$E:$E,MATCH(D180,'Lok Sabha seats'!$A:$A,0))</f>
        <v>0.0204075542337417</v>
      </c>
      <c r="N180" s="9" t="n">
        <v>283271</v>
      </c>
      <c r="O180" s="15"/>
      <c r="P180" s="10" t="n">
        <f aca="false">IF(O180&lt;&gt;"",O180,ROUND(N180*M180/(1+M180),0))</f>
        <v>5665</v>
      </c>
      <c r="Q180" s="16" t="n">
        <f aca="false">P180/J180</f>
        <v>0.717542748575048</v>
      </c>
      <c r="R180" s="2" t="str">
        <f aca="false">IF(P180&gt;J180,"Yes","No")</f>
        <v>No</v>
      </c>
      <c r="S180" s="2" t="str">
        <f aca="false">IF(P180*L180&gt;J180,"Yes","No")</f>
        <v>No</v>
      </c>
      <c r="T180" s="2" t="s">
        <v>294</v>
      </c>
    </row>
    <row r="181" customFormat="false" ht="15" hidden="false" customHeight="false" outlineLevel="0" collapsed="false">
      <c r="A181" s="2" t="n">
        <v>180</v>
      </c>
      <c r="B181" s="2" t="s">
        <v>305</v>
      </c>
      <c r="C181" s="2" t="s">
        <v>303</v>
      </c>
      <c r="D181" s="2" t="s">
        <v>74</v>
      </c>
      <c r="E181" s="2" t="s">
        <v>17</v>
      </c>
      <c r="F181" s="2" t="s">
        <v>18</v>
      </c>
      <c r="G181" s="9" t="n">
        <v>66800</v>
      </c>
      <c r="H181" s="9" t="n">
        <v>41827</v>
      </c>
      <c r="I181" s="9" t="n">
        <v>119756</v>
      </c>
      <c r="J181" s="10" t="n">
        <f aca="false">G181-H181</f>
        <v>24973</v>
      </c>
      <c r="K181" s="11" t="n">
        <f aca="false">J181/I181</f>
        <v>0.208532349109857</v>
      </c>
      <c r="L181" s="11" t="n">
        <f aca="false">I181/N181</f>
        <v>0.583074878156845</v>
      </c>
      <c r="M181" s="4" t="n">
        <f aca="false">INDEX('Lok Sabha seats'!$E:$E,MATCH(D181,'Lok Sabha seats'!$A:$A,0))</f>
        <v>0.0204075542337417</v>
      </c>
      <c r="N181" s="9" t="n">
        <v>205387</v>
      </c>
      <c r="O181" s="15"/>
      <c r="P181" s="10" t="n">
        <f aca="false">IF(O181&lt;&gt;"",O181,ROUND(N181*M181/(1+M181),0))</f>
        <v>4108</v>
      </c>
      <c r="Q181" s="16" t="n">
        <f aca="false">P181/J181</f>
        <v>0.164497657470068</v>
      </c>
      <c r="R181" s="2" t="str">
        <f aca="false">IF(P181&gt;J181,"Yes","No")</f>
        <v>No</v>
      </c>
      <c r="S181" s="2" t="str">
        <f aca="false">IF(P181*L181&gt;J181,"Yes","No")</f>
        <v>No</v>
      </c>
      <c r="T181" s="2" t="s">
        <v>294</v>
      </c>
    </row>
    <row r="182" customFormat="false" ht="15" hidden="false" customHeight="false" outlineLevel="0" collapsed="false">
      <c r="A182" s="2" t="n">
        <v>181</v>
      </c>
      <c r="B182" s="2" t="s">
        <v>73</v>
      </c>
      <c r="C182" s="2" t="s">
        <v>303</v>
      </c>
      <c r="D182" s="2" t="s">
        <v>74</v>
      </c>
      <c r="E182" s="2" t="s">
        <v>44</v>
      </c>
      <c r="F182" s="2" t="s">
        <v>22</v>
      </c>
      <c r="G182" s="9" t="n">
        <v>50213</v>
      </c>
      <c r="H182" s="9" t="n">
        <v>48897</v>
      </c>
      <c r="I182" s="9" t="n">
        <v>134599</v>
      </c>
      <c r="J182" s="10" t="n">
        <f aca="false">G182-H182</f>
        <v>1316</v>
      </c>
      <c r="K182" s="11" t="n">
        <f aca="false">J182/I182</f>
        <v>0.00977719002370003</v>
      </c>
      <c r="L182" s="11" t="n">
        <f aca="false">I182/N182</f>
        <v>0.5956999526446</v>
      </c>
      <c r="M182" s="4" t="n">
        <f aca="false">INDEX('Lok Sabha seats'!$E:$E,MATCH(D182,'Lok Sabha seats'!$A:$A,0))</f>
        <v>0.0204075542337417</v>
      </c>
      <c r="N182" s="9" t="n">
        <v>225951</v>
      </c>
      <c r="O182" s="15"/>
      <c r="P182" s="10" t="n">
        <f aca="false">IF(O182&lt;&gt;"",O182,ROUND(N182*M182/(1+M182),0))</f>
        <v>4519</v>
      </c>
      <c r="Q182" s="16" t="n">
        <f aca="false">P182/J182</f>
        <v>3.4338905775076</v>
      </c>
      <c r="R182" s="2" t="str">
        <f aca="false">IF(P182&gt;J182,"Yes","No")</f>
        <v>Yes</v>
      </c>
      <c r="S182" s="2" t="str">
        <f aca="false">IF(P182*L182&gt;J182,"Yes","No")</f>
        <v>Yes</v>
      </c>
      <c r="T182" s="2" t="s">
        <v>294</v>
      </c>
    </row>
    <row r="183" customFormat="false" ht="15" hidden="false" customHeight="false" outlineLevel="0" collapsed="false">
      <c r="A183" s="2" t="n">
        <v>182</v>
      </c>
      <c r="B183" s="2" t="s">
        <v>306</v>
      </c>
      <c r="C183" s="2" t="s">
        <v>303</v>
      </c>
      <c r="D183" s="2" t="s">
        <v>151</v>
      </c>
      <c r="E183" s="2" t="s">
        <v>44</v>
      </c>
      <c r="F183" s="2" t="s">
        <v>22</v>
      </c>
      <c r="G183" s="9" t="n">
        <v>63324</v>
      </c>
      <c r="H183" s="9" t="n">
        <v>54523</v>
      </c>
      <c r="I183" s="9" t="n">
        <v>143301</v>
      </c>
      <c r="J183" s="10" t="n">
        <f aca="false">G183-H183</f>
        <v>8801</v>
      </c>
      <c r="K183" s="11" t="n">
        <f aca="false">J183/I183</f>
        <v>0.0614161799289607</v>
      </c>
      <c r="L183" s="11" t="n">
        <f aca="false">I183/N183</f>
        <v>0.541739755027975</v>
      </c>
      <c r="M183" s="4" t="n">
        <f aca="false">INDEX('Lok Sabha seats'!$E:$E,MATCH(D183,'Lok Sabha seats'!$A:$A,0))</f>
        <v>0.020156649533124</v>
      </c>
      <c r="N183" s="9" t="n">
        <v>264520</v>
      </c>
      <c r="O183" s="15"/>
      <c r="P183" s="10" t="n">
        <f aca="false">IF(O183&lt;&gt;"",O183,ROUND(N183*M183/(1+M183),0))</f>
        <v>5226</v>
      </c>
      <c r="Q183" s="16" t="n">
        <f aca="false">P183/J183</f>
        <v>0.593796159527327</v>
      </c>
      <c r="R183" s="2" t="str">
        <f aca="false">IF(P183&gt;J183,"Yes","No")</f>
        <v>No</v>
      </c>
      <c r="S183" s="2" t="str">
        <f aca="false">IF(P183*L183&gt;J183,"Yes","No")</f>
        <v>No</v>
      </c>
      <c r="T183" s="2" t="s">
        <v>294</v>
      </c>
    </row>
    <row r="184" customFormat="false" ht="15" hidden="false" customHeight="false" outlineLevel="0" collapsed="false">
      <c r="A184" s="2" t="n">
        <v>183</v>
      </c>
      <c r="B184" s="2" t="s">
        <v>307</v>
      </c>
      <c r="C184" s="2" t="s">
        <v>303</v>
      </c>
      <c r="D184" s="2" t="s">
        <v>151</v>
      </c>
      <c r="E184" s="2" t="s">
        <v>44</v>
      </c>
      <c r="F184" s="2" t="s">
        <v>22</v>
      </c>
      <c r="G184" s="9" t="n">
        <v>74890</v>
      </c>
      <c r="H184" s="9" t="n">
        <v>67750</v>
      </c>
      <c r="I184" s="9" t="n">
        <v>153703</v>
      </c>
      <c r="J184" s="10" t="n">
        <f aca="false">G184-H184</f>
        <v>7140</v>
      </c>
      <c r="K184" s="11" t="n">
        <f aca="false">J184/I184</f>
        <v>0.0464532247256072</v>
      </c>
      <c r="L184" s="11" t="n">
        <f aca="false">I184/N184</f>
        <v>0.558140632716498</v>
      </c>
      <c r="M184" s="4" t="n">
        <f aca="false">INDEX('Lok Sabha seats'!$E:$E,MATCH(D184,'Lok Sabha seats'!$A:$A,0))</f>
        <v>0.020156649533124</v>
      </c>
      <c r="N184" s="9" t="n">
        <v>275384</v>
      </c>
      <c r="O184" s="15"/>
      <c r="P184" s="10" t="n">
        <f aca="false">IF(O184&lt;&gt;"",O184,ROUND(N184*M184/(1+M184),0))</f>
        <v>5441</v>
      </c>
      <c r="Q184" s="16" t="n">
        <f aca="false">P184/J184</f>
        <v>0.762044817927171</v>
      </c>
      <c r="R184" s="2" t="str">
        <f aca="false">IF(P184&gt;J184,"Yes","No")</f>
        <v>No</v>
      </c>
      <c r="S184" s="2" t="str">
        <f aca="false">IF(P184*L184&gt;J184,"Yes","No")</f>
        <v>No</v>
      </c>
      <c r="T184" s="2" t="s">
        <v>294</v>
      </c>
    </row>
    <row r="185" customFormat="false" ht="15" hidden="false" customHeight="false" outlineLevel="0" collapsed="false">
      <c r="A185" s="2" t="n">
        <v>184</v>
      </c>
      <c r="B185" s="2" t="s">
        <v>308</v>
      </c>
      <c r="C185" s="2" t="s">
        <v>303</v>
      </c>
      <c r="D185" s="2" t="s">
        <v>151</v>
      </c>
      <c r="E185" s="2" t="s">
        <v>44</v>
      </c>
      <c r="F185" s="2" t="s">
        <v>22</v>
      </c>
      <c r="G185" s="9" t="n">
        <v>80133</v>
      </c>
      <c r="H185" s="9" t="n">
        <v>48772</v>
      </c>
      <c r="I185" s="9" t="n">
        <v>137947</v>
      </c>
      <c r="J185" s="10" t="n">
        <f aca="false">G185-H185</f>
        <v>31361</v>
      </c>
      <c r="K185" s="11" t="n">
        <f aca="false">J185/I185</f>
        <v>0.227340935286741</v>
      </c>
      <c r="L185" s="11" t="n">
        <f aca="false">I185/N185</f>
        <v>0.53291018944896</v>
      </c>
      <c r="M185" s="4" t="n">
        <f aca="false">INDEX('Lok Sabha seats'!$E:$E,MATCH(D185,'Lok Sabha seats'!$A:$A,0))</f>
        <v>0.020156649533124</v>
      </c>
      <c r="N185" s="9" t="n">
        <v>258856</v>
      </c>
      <c r="O185" s="15"/>
      <c r="P185" s="10" t="n">
        <f aca="false">IF(O185&lt;&gt;"",O185,ROUND(N185*M185/(1+M185),0))</f>
        <v>5115</v>
      </c>
      <c r="Q185" s="16" t="n">
        <f aca="false">P185/J185</f>
        <v>0.163100666432831</v>
      </c>
      <c r="R185" s="2" t="str">
        <f aca="false">IF(P185&gt;J185,"Yes","No")</f>
        <v>No</v>
      </c>
      <c r="S185" s="2" t="str">
        <f aca="false">IF(P185*L185&gt;J185,"Yes","No")</f>
        <v>No</v>
      </c>
      <c r="T185" s="2" t="s">
        <v>294</v>
      </c>
    </row>
    <row r="186" customFormat="false" ht="15" hidden="false" customHeight="false" outlineLevel="0" collapsed="false">
      <c r="A186" s="2" t="n">
        <v>185</v>
      </c>
      <c r="B186" s="2" t="s">
        <v>309</v>
      </c>
      <c r="C186" s="2" t="s">
        <v>303</v>
      </c>
      <c r="D186" s="2" t="s">
        <v>151</v>
      </c>
      <c r="E186" s="2" t="s">
        <v>17</v>
      </c>
      <c r="F186" s="2" t="s">
        <v>18</v>
      </c>
      <c r="G186" s="9" t="n">
        <v>101197</v>
      </c>
      <c r="H186" s="9" t="n">
        <v>33178</v>
      </c>
      <c r="I186" s="9" t="n">
        <v>137911</v>
      </c>
      <c r="J186" s="10" t="n">
        <f aca="false">G186-H186</f>
        <v>68019</v>
      </c>
      <c r="K186" s="11" t="n">
        <f aca="false">J186/I186</f>
        <v>0.493209388663703</v>
      </c>
      <c r="L186" s="11" t="n">
        <f aca="false">I186/N186</f>
        <v>0.528066870371647</v>
      </c>
      <c r="M186" s="4" t="n">
        <f aca="false">INDEX('Lok Sabha seats'!$E:$E,MATCH(D186,'Lok Sabha seats'!$A:$A,0))</f>
        <v>0.020156649533124</v>
      </c>
      <c r="N186" s="9" t="n">
        <v>261162</v>
      </c>
      <c r="O186" s="15"/>
      <c r="P186" s="10" t="n">
        <f aca="false">IF(O186&lt;&gt;"",O186,ROUND(N186*M186/(1+M186),0))</f>
        <v>5160</v>
      </c>
      <c r="Q186" s="16" t="n">
        <f aca="false">P186/J186</f>
        <v>0.0758611564415825</v>
      </c>
      <c r="R186" s="2" t="str">
        <f aca="false">IF(P186&gt;J186,"Yes","No")</f>
        <v>No</v>
      </c>
      <c r="S186" s="2" t="str">
        <f aca="false">IF(P186*L186&gt;J186,"Yes","No")</f>
        <v>No</v>
      </c>
      <c r="T186" s="2" t="s">
        <v>294</v>
      </c>
    </row>
    <row r="187" customFormat="false" ht="15" hidden="false" customHeight="false" outlineLevel="0" collapsed="false">
      <c r="A187" s="2" t="n">
        <v>186</v>
      </c>
      <c r="B187" s="2" t="s">
        <v>310</v>
      </c>
      <c r="C187" s="2" t="s">
        <v>303</v>
      </c>
      <c r="D187" s="2" t="s">
        <v>151</v>
      </c>
      <c r="E187" s="2" t="s">
        <v>21</v>
      </c>
      <c r="F187" s="2" t="s">
        <v>22</v>
      </c>
      <c r="G187" s="9" t="n">
        <v>74990</v>
      </c>
      <c r="H187" s="9" t="n">
        <v>40146</v>
      </c>
      <c r="I187" s="9" t="n">
        <v>118384</v>
      </c>
      <c r="J187" s="10" t="n">
        <f aca="false">G187-H187</f>
        <v>34844</v>
      </c>
      <c r="K187" s="11" t="n">
        <f aca="false">J187/I187</f>
        <v>0.29433031490742</v>
      </c>
      <c r="L187" s="11" t="n">
        <f aca="false">I187/N187</f>
        <v>0.489272976000066</v>
      </c>
      <c r="M187" s="4" t="n">
        <f aca="false">INDEX('Lok Sabha seats'!$E:$E,MATCH(D187,'Lok Sabha seats'!$A:$A,0))</f>
        <v>0.020156649533124</v>
      </c>
      <c r="N187" s="9" t="n">
        <v>241959</v>
      </c>
      <c r="O187" s="15"/>
      <c r="P187" s="10" t="n">
        <f aca="false">IF(O187&lt;&gt;"",O187,ROUND(N187*M187/(1+M187),0))</f>
        <v>4781</v>
      </c>
      <c r="Q187" s="16" t="n">
        <f aca="false">P187/J187</f>
        <v>0.137211571576168</v>
      </c>
      <c r="R187" s="2" t="str">
        <f aca="false">IF(P187&gt;J187,"Yes","No")</f>
        <v>No</v>
      </c>
      <c r="S187" s="2" t="str">
        <f aca="false">IF(P187*L187&gt;J187,"Yes","No")</f>
        <v>No</v>
      </c>
      <c r="T187" s="2" t="s">
        <v>294</v>
      </c>
    </row>
    <row r="188" customFormat="false" ht="15" hidden="false" customHeight="false" outlineLevel="0" collapsed="false">
      <c r="A188" s="2" t="n">
        <v>187</v>
      </c>
      <c r="B188" s="2" t="s">
        <v>311</v>
      </c>
      <c r="C188" s="2" t="s">
        <v>303</v>
      </c>
      <c r="D188" s="2" t="s">
        <v>151</v>
      </c>
      <c r="E188" s="2" t="s">
        <v>17</v>
      </c>
      <c r="F188" s="2" t="s">
        <v>18</v>
      </c>
      <c r="G188" s="9" t="n">
        <v>81085</v>
      </c>
      <c r="H188" s="9" t="n">
        <v>32504</v>
      </c>
      <c r="I188" s="9" t="n">
        <v>118389</v>
      </c>
      <c r="J188" s="10" t="n">
        <f aca="false">G188-H188</f>
        <v>48581</v>
      </c>
      <c r="K188" s="11" t="n">
        <f aca="false">J188/I188</f>
        <v>0.410350623791062</v>
      </c>
      <c r="L188" s="11" t="n">
        <f aca="false">I188/N188</f>
        <v>0.446328194804167</v>
      </c>
      <c r="M188" s="4" t="n">
        <f aca="false">INDEX('Lok Sabha seats'!$E:$E,MATCH(D188,'Lok Sabha seats'!$A:$A,0))</f>
        <v>0.020156649533124</v>
      </c>
      <c r="N188" s="9" t="n">
        <v>265251</v>
      </c>
      <c r="O188" s="15"/>
      <c r="P188" s="10" t="n">
        <f aca="false">IF(O188&lt;&gt;"",O188,ROUND(N188*M188/(1+M188),0))</f>
        <v>5241</v>
      </c>
      <c r="Q188" s="16" t="n">
        <f aca="false">P188/J188</f>
        <v>0.107881682139108</v>
      </c>
      <c r="R188" s="2" t="str">
        <f aca="false">IF(P188&gt;J188,"Yes","No")</f>
        <v>No</v>
      </c>
      <c r="S188" s="2" t="str">
        <f aca="false">IF(P188*L188&gt;J188,"Yes","No")</f>
        <v>No</v>
      </c>
      <c r="T188" s="2" t="s">
        <v>294</v>
      </c>
    </row>
    <row r="189" customFormat="false" ht="15" hidden="false" customHeight="false" outlineLevel="0" collapsed="false">
      <c r="A189" s="2" t="n">
        <v>188</v>
      </c>
      <c r="B189" s="2" t="s">
        <v>312</v>
      </c>
      <c r="C189" s="2" t="s">
        <v>96</v>
      </c>
      <c r="D189" s="2" t="s">
        <v>72</v>
      </c>
      <c r="E189" s="2" t="s">
        <v>17</v>
      </c>
      <c r="F189" s="2" t="s">
        <v>18</v>
      </c>
      <c r="G189" s="9" t="n">
        <v>183931</v>
      </c>
      <c r="H189" s="9" t="n">
        <v>132840</v>
      </c>
      <c r="I189" s="9" t="n">
        <v>383964</v>
      </c>
      <c r="J189" s="10" t="n">
        <f aca="false">G189-H189</f>
        <v>51091</v>
      </c>
      <c r="K189" s="11" t="n">
        <f aca="false">J189/I189</f>
        <v>0.133061953724828</v>
      </c>
      <c r="L189" s="11" t="n">
        <f aca="false">I189/N189</f>
        <v>0.588845845947165</v>
      </c>
      <c r="M189" s="4" t="n">
        <f aca="false">INDEX('Lok Sabha seats'!$E:$E,MATCH(D189,'Lok Sabha seats'!$A:$A,0))</f>
        <v>0.0654881319975335</v>
      </c>
      <c r="N189" s="9" t="n">
        <v>652062</v>
      </c>
      <c r="O189" s="15"/>
      <c r="P189" s="10" t="n">
        <f aca="false">IF(O189&lt;&gt;"",O189,ROUND(N189*M189/(1+M189),0))</f>
        <v>40078</v>
      </c>
      <c r="Q189" s="16" t="n">
        <f aca="false">P189/J189</f>
        <v>0.784443444050811</v>
      </c>
      <c r="R189" s="2" t="str">
        <f aca="false">IF(P189&gt;J189,"Yes","No")</f>
        <v>No</v>
      </c>
      <c r="S189" s="2" t="str">
        <f aca="false">IF(P189*L189&gt;J189,"Yes","No")</f>
        <v>No</v>
      </c>
      <c r="T189" s="2" t="s">
        <v>294</v>
      </c>
    </row>
    <row r="190" customFormat="false" ht="15" hidden="false" customHeight="false" outlineLevel="0" collapsed="false">
      <c r="A190" s="2" t="n">
        <v>189</v>
      </c>
      <c r="B190" s="2" t="s">
        <v>71</v>
      </c>
      <c r="C190" s="2" t="s">
        <v>96</v>
      </c>
      <c r="D190" s="2" t="s">
        <v>72</v>
      </c>
      <c r="E190" s="2" t="s">
        <v>27</v>
      </c>
      <c r="F190" s="2" t="s">
        <v>18</v>
      </c>
      <c r="G190" s="9" t="n">
        <v>94871</v>
      </c>
      <c r="H190" s="9" t="n">
        <v>89177</v>
      </c>
      <c r="I190" s="9" t="n">
        <v>239999</v>
      </c>
      <c r="J190" s="10" t="n">
        <f aca="false">G190-H190</f>
        <v>5694</v>
      </c>
      <c r="K190" s="11" t="n">
        <f aca="false">J190/I190</f>
        <v>0.0237250988545786</v>
      </c>
      <c r="L190" s="11" t="n">
        <f aca="false">I190/N190</f>
        <v>0.752956936958418</v>
      </c>
      <c r="M190" s="4" t="n">
        <f aca="false">INDEX('Lok Sabha seats'!$E:$E,MATCH(D190,'Lok Sabha seats'!$A:$A,0))</f>
        <v>0.0654881319975335</v>
      </c>
      <c r="N190" s="9" t="n">
        <v>318742</v>
      </c>
      <c r="O190" s="15"/>
      <c r="P190" s="10" t="n">
        <f aca="false">IF(O190&lt;&gt;"",O190,ROUND(N190*M190/(1+M190),0))</f>
        <v>19591</v>
      </c>
      <c r="Q190" s="16" t="n">
        <f aca="false">P190/J190</f>
        <v>3.44063926940639</v>
      </c>
      <c r="R190" s="2" t="str">
        <f aca="false">IF(P190&gt;J190,"Yes","No")</f>
        <v>Yes</v>
      </c>
      <c r="S190" s="2" t="str">
        <f aca="false">IF(P190*L190&gt;J190,"Yes","No")</f>
        <v>Yes</v>
      </c>
      <c r="T190" s="2" t="s">
        <v>294</v>
      </c>
    </row>
    <row r="191" customFormat="false" ht="15" hidden="false" customHeight="false" outlineLevel="0" collapsed="false">
      <c r="A191" s="2" t="n">
        <v>190</v>
      </c>
      <c r="B191" s="2" t="s">
        <v>77</v>
      </c>
      <c r="C191" s="2" t="s">
        <v>96</v>
      </c>
      <c r="D191" s="2" t="s">
        <v>72</v>
      </c>
      <c r="E191" s="2" t="s">
        <v>17</v>
      </c>
      <c r="F191" s="2" t="s">
        <v>18</v>
      </c>
      <c r="G191" s="9" t="n">
        <v>95390</v>
      </c>
      <c r="H191" s="9" t="n">
        <v>88878</v>
      </c>
      <c r="I191" s="9" t="n">
        <v>263548</v>
      </c>
      <c r="J191" s="10" t="n">
        <f aca="false">G191-H191</f>
        <v>6512</v>
      </c>
      <c r="K191" s="11" t="n">
        <f aca="false">J191/I191</f>
        <v>0.0247089714207659</v>
      </c>
      <c r="L191" s="11" t="n">
        <f aca="false">I191/N191</f>
        <v>0.770380677051514</v>
      </c>
      <c r="M191" s="4" t="n">
        <f aca="false">INDEX('Lok Sabha seats'!$E:$E,MATCH(D191,'Lok Sabha seats'!$A:$A,0))</f>
        <v>0.0654881319975335</v>
      </c>
      <c r="N191" s="9" t="n">
        <v>342101</v>
      </c>
      <c r="O191" s="15"/>
      <c r="P191" s="10" t="n">
        <f aca="false">IF(O191&lt;&gt;"",O191,ROUND(N191*M191/(1+M191),0))</f>
        <v>21027</v>
      </c>
      <c r="Q191" s="16" t="n">
        <f aca="false">P191/J191</f>
        <v>3.22896191646192</v>
      </c>
      <c r="R191" s="2" t="str">
        <f aca="false">IF(P191&gt;J191,"Yes","No")</f>
        <v>Yes</v>
      </c>
      <c r="S191" s="2" t="str">
        <f aca="false">IF(P191*L191&gt;J191,"Yes","No")</f>
        <v>Yes</v>
      </c>
      <c r="T191" s="2" t="s">
        <v>294</v>
      </c>
    </row>
    <row r="192" customFormat="false" ht="15" hidden="false" customHeight="false" outlineLevel="0" collapsed="false">
      <c r="A192" s="2" t="n">
        <v>191</v>
      </c>
      <c r="B192" s="2" t="s">
        <v>313</v>
      </c>
      <c r="C192" s="2" t="s">
        <v>96</v>
      </c>
      <c r="D192" s="2" t="s">
        <v>96</v>
      </c>
      <c r="E192" s="2" t="s">
        <v>17</v>
      </c>
      <c r="F192" s="2" t="s">
        <v>18</v>
      </c>
      <c r="G192" s="9" t="n">
        <v>124631</v>
      </c>
      <c r="H192" s="9" t="n">
        <v>63821</v>
      </c>
      <c r="I192" s="9" t="n">
        <v>226527</v>
      </c>
      <c r="J192" s="10" t="n">
        <f aca="false">G192-H192</f>
        <v>60810</v>
      </c>
      <c r="K192" s="11" t="n">
        <f aca="false">J192/I192</f>
        <v>0.268444821147148</v>
      </c>
      <c r="L192" s="11" t="n">
        <f aca="false">I192/N192</f>
        <v>0.735527422324249</v>
      </c>
      <c r="M192" s="4" t="n">
        <f aca="false">INDEX('Lok Sabha seats'!$E:$E,MATCH(D192,'Lok Sabha seats'!$A:$A,0))</f>
        <v>0.0248817410026061</v>
      </c>
      <c r="N192" s="9" t="n">
        <v>307979</v>
      </c>
      <c r="O192" s="15"/>
      <c r="P192" s="10" t="n">
        <f aca="false">IF(O192&lt;&gt;"",O192,ROUND(N192*M192/(1+M192),0))</f>
        <v>7477</v>
      </c>
      <c r="Q192" s="16" t="n">
        <f aca="false">P192/J192</f>
        <v>0.122956750534452</v>
      </c>
      <c r="R192" s="2" t="str">
        <f aca="false">IF(P192&gt;J192,"Yes","No")</f>
        <v>No</v>
      </c>
      <c r="S192" s="2" t="str">
        <f aca="false">IF(P192*L192&gt;J192,"Yes","No")</f>
        <v>No</v>
      </c>
      <c r="T192" s="2" t="s">
        <v>294</v>
      </c>
    </row>
    <row r="193" customFormat="false" ht="15" hidden="false" customHeight="false" outlineLevel="0" collapsed="false">
      <c r="A193" s="2" t="n">
        <v>192</v>
      </c>
      <c r="B193" s="2" t="s">
        <v>314</v>
      </c>
      <c r="C193" s="2" t="s">
        <v>96</v>
      </c>
      <c r="D193" s="2" t="s">
        <v>96</v>
      </c>
      <c r="E193" s="2" t="s">
        <v>27</v>
      </c>
      <c r="F193" s="2" t="s">
        <v>18</v>
      </c>
      <c r="G193" s="9" t="n">
        <v>113599</v>
      </c>
      <c r="H193" s="9" t="n">
        <v>84034</v>
      </c>
      <c r="I193" s="9" t="n">
        <v>238000</v>
      </c>
      <c r="J193" s="10" t="n">
        <f aca="false">G193-H193</f>
        <v>29565</v>
      </c>
      <c r="K193" s="11" t="n">
        <f aca="false">J193/I193</f>
        <v>0.12422268907563</v>
      </c>
      <c r="L193" s="11" t="n">
        <f aca="false">I193/N193</f>
        <v>0.777193612644091</v>
      </c>
      <c r="M193" s="4" t="n">
        <f aca="false">INDEX('Lok Sabha seats'!$E:$E,MATCH(D193,'Lok Sabha seats'!$A:$A,0))</f>
        <v>0.0248817410026061</v>
      </c>
      <c r="N193" s="9" t="n">
        <v>306230</v>
      </c>
      <c r="O193" s="15"/>
      <c r="P193" s="10" t="n">
        <f aca="false">IF(O193&lt;&gt;"",O193,ROUND(N193*M193/(1+M193),0))</f>
        <v>7435</v>
      </c>
      <c r="Q193" s="16" t="n">
        <f aca="false">P193/J193</f>
        <v>0.251479790292576</v>
      </c>
      <c r="R193" s="2" t="str">
        <f aca="false">IF(P193&gt;J193,"Yes","No")</f>
        <v>No</v>
      </c>
      <c r="S193" s="2" t="str">
        <f aca="false">IF(P193*L193&gt;J193,"Yes","No")</f>
        <v>No</v>
      </c>
      <c r="T193" s="2" t="s">
        <v>294</v>
      </c>
    </row>
    <row r="194" customFormat="false" ht="15" hidden="false" customHeight="false" outlineLevel="0" collapsed="false">
      <c r="A194" s="2" t="n">
        <v>193</v>
      </c>
      <c r="B194" s="2" t="s">
        <v>315</v>
      </c>
      <c r="C194" s="2" t="s">
        <v>96</v>
      </c>
      <c r="D194" s="2" t="s">
        <v>96</v>
      </c>
      <c r="E194" s="2" t="s">
        <v>25</v>
      </c>
      <c r="F194" s="2" t="s">
        <v>18</v>
      </c>
      <c r="G194" s="9" t="n">
        <v>116050</v>
      </c>
      <c r="H194" s="9" t="n">
        <v>33252</v>
      </c>
      <c r="I194" s="9" t="n">
        <v>163939</v>
      </c>
      <c r="J194" s="10" t="n">
        <f aca="false">G194-H194</f>
        <v>82798</v>
      </c>
      <c r="K194" s="11" t="n">
        <f aca="false">J194/I194</f>
        <v>0.505053709001519</v>
      </c>
      <c r="L194" s="11" t="n">
        <f aca="false">I194/N194</f>
        <v>0.617970793784821</v>
      </c>
      <c r="M194" s="4" t="n">
        <f aca="false">INDEX('Lok Sabha seats'!$E:$E,MATCH(D194,'Lok Sabha seats'!$A:$A,0))</f>
        <v>0.0248817410026061</v>
      </c>
      <c r="N194" s="9" t="n">
        <v>265286</v>
      </c>
      <c r="O194" s="15"/>
      <c r="P194" s="10" t="n">
        <f aca="false">IF(O194&lt;&gt;"",O194,ROUND(N194*M194/(1+M194),0))</f>
        <v>6441</v>
      </c>
      <c r="Q194" s="16" t="n">
        <f aca="false">P194/J194</f>
        <v>0.0777917340998575</v>
      </c>
      <c r="R194" s="2" t="str">
        <f aca="false">IF(P194&gt;J194,"Yes","No")</f>
        <v>No</v>
      </c>
      <c r="S194" s="2" t="str">
        <f aca="false">IF(P194*L194&gt;J194,"Yes","No")</f>
        <v>No</v>
      </c>
      <c r="T194" s="2" t="s">
        <v>294</v>
      </c>
    </row>
    <row r="195" customFormat="false" ht="15" hidden="false" customHeight="false" outlineLevel="0" collapsed="false">
      <c r="A195" s="2" t="n">
        <v>194</v>
      </c>
      <c r="B195" s="2" t="s">
        <v>316</v>
      </c>
      <c r="C195" s="2" t="s">
        <v>96</v>
      </c>
      <c r="D195" s="2" t="s">
        <v>96</v>
      </c>
      <c r="E195" s="2" t="s">
        <v>27</v>
      </c>
      <c r="F195" s="2" t="s">
        <v>18</v>
      </c>
      <c r="G195" s="9" t="n">
        <v>117442</v>
      </c>
      <c r="H195" s="9" t="n">
        <v>91232</v>
      </c>
      <c r="I195" s="9" t="n">
        <v>213325</v>
      </c>
      <c r="J195" s="10" t="n">
        <f aca="false">G195-H195</f>
        <v>26210</v>
      </c>
      <c r="K195" s="11" t="n">
        <f aca="false">J195/I195</f>
        <v>0.122864174381812</v>
      </c>
      <c r="L195" s="11" t="n">
        <f aca="false">I195/N195</f>
        <v>0.719749112649635</v>
      </c>
      <c r="M195" s="4" t="n">
        <f aca="false">INDEX('Lok Sabha seats'!$E:$E,MATCH(D195,'Lok Sabha seats'!$A:$A,0))</f>
        <v>0.0248817410026061</v>
      </c>
      <c r="N195" s="9" t="n">
        <v>296388</v>
      </c>
      <c r="O195" s="15"/>
      <c r="P195" s="10" t="n">
        <f aca="false">IF(O195&lt;&gt;"",O195,ROUND(N195*M195/(1+M195),0))</f>
        <v>7196</v>
      </c>
      <c r="Q195" s="16" t="n">
        <f aca="false">P195/J195</f>
        <v>0.274551697825258</v>
      </c>
      <c r="R195" s="2" t="str">
        <f aca="false">IF(P195&gt;J195,"Yes","No")</f>
        <v>No</v>
      </c>
      <c r="S195" s="2" t="str">
        <f aca="false">IF(P195*L195&gt;J195,"Yes","No")</f>
        <v>No</v>
      </c>
      <c r="T195" s="2" t="s">
        <v>294</v>
      </c>
    </row>
    <row r="196" customFormat="false" ht="15" hidden="false" customHeight="false" outlineLevel="0" collapsed="false">
      <c r="A196" s="2" t="n">
        <v>195</v>
      </c>
      <c r="B196" s="2" t="s">
        <v>78</v>
      </c>
      <c r="C196" s="2" t="s">
        <v>51</v>
      </c>
      <c r="D196" s="2" t="s">
        <v>24</v>
      </c>
      <c r="E196" s="2" t="s">
        <v>79</v>
      </c>
      <c r="F196" s="2" t="s">
        <v>13</v>
      </c>
      <c r="G196" s="9" t="n">
        <v>73355</v>
      </c>
      <c r="H196" s="9" t="n">
        <v>66691</v>
      </c>
      <c r="I196" s="9" t="n">
        <v>226201</v>
      </c>
      <c r="J196" s="10" t="n">
        <f aca="false">G196-H196</f>
        <v>6664</v>
      </c>
      <c r="K196" s="11" t="n">
        <f aca="false">J196/I196</f>
        <v>0.029460524047197</v>
      </c>
      <c r="L196" s="11" t="n">
        <f aca="false">I196/N196</f>
        <v>0.694370771478739</v>
      </c>
      <c r="M196" s="4" t="n">
        <f aca="false">INDEX('Lok Sabha seats'!$E:$E,MATCH(D196,'Lok Sabha seats'!$A:$A,0))</f>
        <v>0.0697243219873828</v>
      </c>
      <c r="N196" s="9" t="n">
        <v>325764</v>
      </c>
      <c r="O196" s="15"/>
      <c r="P196" s="10" t="n">
        <f aca="false">IF(O196&lt;&gt;"",O196,ROUND(N196*M196/(1+M196),0))</f>
        <v>21233</v>
      </c>
      <c r="Q196" s="16" t="n">
        <f aca="false">P196/J196</f>
        <v>3.18622448979592</v>
      </c>
      <c r="R196" s="2" t="str">
        <f aca="false">IF(P196&gt;J196,"Yes","No")</f>
        <v>Yes</v>
      </c>
      <c r="S196" s="2" t="str">
        <f aca="false">IF(P196*L196&gt;J196,"Yes","No")</f>
        <v>Yes</v>
      </c>
      <c r="T196" s="2" t="s">
        <v>294</v>
      </c>
    </row>
    <row r="197" customFormat="false" ht="15" hidden="false" customHeight="false" outlineLevel="0" collapsed="false">
      <c r="A197" s="2" t="n">
        <v>196</v>
      </c>
      <c r="B197" s="2" t="s">
        <v>23</v>
      </c>
      <c r="C197" s="2" t="s">
        <v>51</v>
      </c>
      <c r="D197" s="2" t="s">
        <v>24</v>
      </c>
      <c r="E197" s="2" t="s">
        <v>25</v>
      </c>
      <c r="F197" s="2" t="s">
        <v>18</v>
      </c>
      <c r="G197" s="9" t="n">
        <v>106888</v>
      </c>
      <c r="H197" s="9" t="n">
        <v>105365</v>
      </c>
      <c r="I197" s="9" t="n">
        <v>222515</v>
      </c>
      <c r="J197" s="10" t="n">
        <f aca="false">G197-H197</f>
        <v>1523</v>
      </c>
      <c r="K197" s="11" t="n">
        <f aca="false">J197/I197</f>
        <v>0.00684448239444532</v>
      </c>
      <c r="L197" s="11" t="n">
        <f aca="false">I197/N197</f>
        <v>0.70807823021015</v>
      </c>
      <c r="M197" s="4" t="n">
        <f aca="false">INDEX('Lok Sabha seats'!$E:$E,MATCH(D197,'Lok Sabha seats'!$A:$A,0))</f>
        <v>0.0697243219873828</v>
      </c>
      <c r="N197" s="9" t="n">
        <v>314252</v>
      </c>
      <c r="O197" s="15"/>
      <c r="P197" s="10" t="n">
        <f aca="false">IF(O197&lt;&gt;"",O197,ROUND(N197*M197/(1+M197),0))</f>
        <v>20483</v>
      </c>
      <c r="Q197" s="16" t="n">
        <f aca="false">P197/J197</f>
        <v>13.4491135915955</v>
      </c>
      <c r="R197" s="2" t="str">
        <f aca="false">IF(P197&gt;J197,"Yes","No")</f>
        <v>Yes</v>
      </c>
      <c r="S197" s="2" t="str">
        <f aca="false">IF(P197*L197&gt;J197,"Yes","No")</f>
        <v>Yes</v>
      </c>
      <c r="T197" s="2" t="s">
        <v>294</v>
      </c>
    </row>
    <row r="198" customFormat="false" ht="15" hidden="false" customHeight="false" outlineLevel="0" collapsed="false">
      <c r="A198" s="2" t="n">
        <v>197</v>
      </c>
      <c r="B198" s="2" t="s">
        <v>317</v>
      </c>
      <c r="C198" s="2" t="s">
        <v>51</v>
      </c>
      <c r="D198" s="2" t="s">
        <v>24</v>
      </c>
      <c r="E198" s="2" t="s">
        <v>44</v>
      </c>
      <c r="F198" s="2" t="s">
        <v>22</v>
      </c>
      <c r="G198" s="9" t="n">
        <v>150152</v>
      </c>
      <c r="H198" s="9" t="n">
        <v>98409</v>
      </c>
      <c r="I198" s="9" t="n">
        <v>259402</v>
      </c>
      <c r="J198" s="10" t="n">
        <f aca="false">G198-H198</f>
        <v>51743</v>
      </c>
      <c r="K198" s="11" t="n">
        <f aca="false">J198/I198</f>
        <v>0.199470320197994</v>
      </c>
      <c r="L198" s="11" t="n">
        <f aca="false">I198/N198</f>
        <v>0.688757723240482</v>
      </c>
      <c r="M198" s="4" t="n">
        <f aca="false">INDEX('Lok Sabha seats'!$E:$E,MATCH(D198,'Lok Sabha seats'!$A:$A,0))</f>
        <v>0.0697243219873828</v>
      </c>
      <c r="N198" s="9" t="n">
        <v>376623</v>
      </c>
      <c r="O198" s="15"/>
      <c r="P198" s="10" t="n">
        <f aca="false">IF(O198&lt;&gt;"",O198,ROUND(N198*M198/(1+M198),0))</f>
        <v>24548</v>
      </c>
      <c r="Q198" s="16" t="n">
        <f aca="false">P198/J198</f>
        <v>0.474421660900991</v>
      </c>
      <c r="R198" s="2" t="str">
        <f aca="false">IF(P198&gt;J198,"Yes","No")</f>
        <v>No</v>
      </c>
      <c r="S198" s="2" t="str">
        <f aca="false">IF(P198*L198&gt;J198,"Yes","No")</f>
        <v>No</v>
      </c>
      <c r="T198" s="2" t="s">
        <v>294</v>
      </c>
    </row>
    <row r="199" customFormat="false" ht="15" hidden="false" customHeight="false" outlineLevel="0" collapsed="false">
      <c r="A199" s="2" t="n">
        <v>198</v>
      </c>
      <c r="B199" s="2" t="s">
        <v>24</v>
      </c>
      <c r="C199" s="2" t="s">
        <v>51</v>
      </c>
      <c r="D199" s="2" t="s">
        <v>24</v>
      </c>
      <c r="E199" s="2" t="s">
        <v>25</v>
      </c>
      <c r="F199" s="2" t="s">
        <v>18</v>
      </c>
      <c r="G199" s="9" t="n">
        <v>192281</v>
      </c>
      <c r="H199" s="9" t="n">
        <v>117731</v>
      </c>
      <c r="I199" s="9" t="n">
        <v>321088</v>
      </c>
      <c r="J199" s="10" t="n">
        <f aca="false">G199-H199</f>
        <v>74550</v>
      </c>
      <c r="K199" s="11" t="n">
        <f aca="false">J199/I199</f>
        <v>0.232179340243173</v>
      </c>
      <c r="L199" s="11" t="n">
        <f aca="false">I199/N199</f>
        <v>0.688967947094897</v>
      </c>
      <c r="M199" s="4" t="n">
        <f aca="false">INDEX('Lok Sabha seats'!$E:$E,MATCH(D199,'Lok Sabha seats'!$A:$A,0))</f>
        <v>0.0697243219873828</v>
      </c>
      <c r="N199" s="9" t="n">
        <v>466042</v>
      </c>
      <c r="O199" s="15"/>
      <c r="P199" s="10" t="n">
        <f aca="false">IF(O199&lt;&gt;"",O199,ROUND(N199*M199/(1+M199),0))</f>
        <v>30376</v>
      </c>
      <c r="Q199" s="16" t="n">
        <f aca="false">P199/J199</f>
        <v>0.407458081824279</v>
      </c>
      <c r="R199" s="2" t="str">
        <f aca="false">IF(P199&gt;J199,"Yes","No")</f>
        <v>No</v>
      </c>
      <c r="S199" s="2" t="str">
        <f aca="false">IF(P199*L199&gt;J199,"Yes","No")</f>
        <v>No</v>
      </c>
      <c r="T199" s="2" t="s">
        <v>171</v>
      </c>
    </row>
    <row r="200" customFormat="false" ht="15" hidden="false" customHeight="false" outlineLevel="0" collapsed="false">
      <c r="A200" s="2" t="n">
        <v>199</v>
      </c>
      <c r="B200" s="2" t="s">
        <v>118</v>
      </c>
      <c r="C200" s="2" t="s">
        <v>51</v>
      </c>
      <c r="D200" s="2" t="s">
        <v>119</v>
      </c>
      <c r="E200" s="2" t="s">
        <v>17</v>
      </c>
      <c r="F200" s="2" t="s">
        <v>18</v>
      </c>
      <c r="G200" s="9" t="n">
        <v>120721</v>
      </c>
      <c r="H200" s="9" t="n">
        <v>106832</v>
      </c>
      <c r="I200" s="9" t="n">
        <v>236690</v>
      </c>
      <c r="J200" s="10" t="n">
        <f aca="false">G200-H200</f>
        <v>13889</v>
      </c>
      <c r="K200" s="11" t="n">
        <f aca="false">J200/I200</f>
        <v>0.0586801301280156</v>
      </c>
      <c r="L200" s="11" t="n">
        <f aca="false">I200/N200</f>
        <v>0.741252258769663</v>
      </c>
      <c r="M200" s="4" t="n">
        <f aca="false">INDEX('Lok Sabha seats'!$E:$E,MATCH(D200,'Lok Sabha seats'!$A:$A,0))</f>
        <v>0.05880974497907</v>
      </c>
      <c r="N200" s="9" t="n">
        <v>319311</v>
      </c>
      <c r="O200" s="15"/>
      <c r="P200" s="10" t="n">
        <f aca="false">IF(O200&lt;&gt;"",O200,ROUND(N200*M200/(1+M200),0))</f>
        <v>17736</v>
      </c>
      <c r="Q200" s="16" t="n">
        <f aca="false">P200/J200</f>
        <v>1.27698178414573</v>
      </c>
      <c r="R200" s="2" t="str">
        <f aca="false">IF(P200&gt;J200,"Yes","No")</f>
        <v>Yes</v>
      </c>
      <c r="S200" s="2" t="str">
        <f aca="false">IF(P200*L200&gt;J200,"Yes","No")</f>
        <v>No</v>
      </c>
      <c r="T200" s="2" t="s">
        <v>294</v>
      </c>
    </row>
    <row r="201" customFormat="false" ht="15" hidden="false" customHeight="false" outlineLevel="0" collapsed="false">
      <c r="A201" s="2" t="n">
        <v>200</v>
      </c>
      <c r="B201" s="2" t="s">
        <v>318</v>
      </c>
      <c r="C201" s="2" t="s">
        <v>51</v>
      </c>
      <c r="D201" s="2" t="s">
        <v>119</v>
      </c>
      <c r="E201" s="2" t="s">
        <v>25</v>
      </c>
      <c r="F201" s="2" t="s">
        <v>18</v>
      </c>
      <c r="G201" s="9" t="n">
        <v>117236</v>
      </c>
      <c r="H201" s="9" t="n">
        <v>97826</v>
      </c>
      <c r="I201" s="9" t="n">
        <v>264985</v>
      </c>
      <c r="J201" s="10" t="n">
        <f aca="false">G201-H201</f>
        <v>19410</v>
      </c>
      <c r="K201" s="11" t="n">
        <f aca="false">J201/I201</f>
        <v>0.0732494292129743</v>
      </c>
      <c r="L201" s="11" t="n">
        <f aca="false">I201/N201</f>
        <v>0.775978447076738</v>
      </c>
      <c r="M201" s="4" t="n">
        <f aca="false">INDEX('Lok Sabha seats'!$E:$E,MATCH(D201,'Lok Sabha seats'!$A:$A,0))</f>
        <v>0.05880974497907</v>
      </c>
      <c r="N201" s="9" t="n">
        <v>341485</v>
      </c>
      <c r="O201" s="15"/>
      <c r="P201" s="10" t="n">
        <f aca="false">IF(O201&lt;&gt;"",O201,ROUND(N201*M201/(1+M201),0))</f>
        <v>18967</v>
      </c>
      <c r="Q201" s="16" t="n">
        <f aca="false">P201/J201</f>
        <v>0.977176713034518</v>
      </c>
      <c r="R201" s="2" t="str">
        <f aca="false">IF(P201&gt;J201,"Yes","No")</f>
        <v>No</v>
      </c>
      <c r="S201" s="2" t="str">
        <f aca="false">IF(P201*L201&gt;J201,"Yes","No")</f>
        <v>No</v>
      </c>
      <c r="T201" s="2" t="s">
        <v>171</v>
      </c>
    </row>
    <row r="202" customFormat="false" ht="15" hidden="false" customHeight="false" outlineLevel="0" collapsed="false">
      <c r="A202" s="2" t="n">
        <v>201</v>
      </c>
      <c r="B202" s="2" t="s">
        <v>119</v>
      </c>
      <c r="C202" s="2" t="s">
        <v>51</v>
      </c>
      <c r="D202" s="2" t="s">
        <v>119</v>
      </c>
      <c r="E202" s="2" t="s">
        <v>25</v>
      </c>
      <c r="F202" s="2" t="s">
        <v>18</v>
      </c>
      <c r="G202" s="9" t="n">
        <v>181132</v>
      </c>
      <c r="H202" s="9" t="n">
        <v>80233</v>
      </c>
      <c r="I202" s="9" t="n">
        <v>273895</v>
      </c>
      <c r="J202" s="10" t="n">
        <f aca="false">G202-H202</f>
        <v>100899</v>
      </c>
      <c r="K202" s="11" t="n">
        <f aca="false">J202/I202</f>
        <v>0.368385695248179</v>
      </c>
      <c r="L202" s="11" t="n">
        <f aca="false">I202/N202</f>
        <v>0.719624915923995</v>
      </c>
      <c r="M202" s="4" t="n">
        <f aca="false">INDEX('Lok Sabha seats'!$E:$E,MATCH(D202,'Lok Sabha seats'!$A:$A,0))</f>
        <v>0.05880974497907</v>
      </c>
      <c r="N202" s="9" t="n">
        <v>380608</v>
      </c>
      <c r="O202" s="15"/>
      <c r="P202" s="10" t="n">
        <f aca="false">IF(O202&lt;&gt;"",O202,ROUND(N202*M202/(1+M202),0))</f>
        <v>21140</v>
      </c>
      <c r="Q202" s="16" t="n">
        <f aca="false">P202/J202</f>
        <v>0.20951644714021</v>
      </c>
      <c r="R202" s="2" t="str">
        <f aca="false">IF(P202&gt;J202,"Yes","No")</f>
        <v>No</v>
      </c>
      <c r="S202" s="2" t="str">
        <f aca="false">IF(P202*L202&gt;J202,"Yes","No")</f>
        <v>No</v>
      </c>
      <c r="T202" s="2" t="s">
        <v>171</v>
      </c>
    </row>
    <row r="203" customFormat="false" ht="15" hidden="false" customHeight="false" outlineLevel="0" collapsed="false">
      <c r="A203" s="2" t="n">
        <v>202</v>
      </c>
      <c r="B203" s="2" t="s">
        <v>127</v>
      </c>
      <c r="C203" s="2" t="s">
        <v>51</v>
      </c>
      <c r="D203" s="2" t="s">
        <v>119</v>
      </c>
      <c r="E203" s="2" t="s">
        <v>27</v>
      </c>
      <c r="F203" s="2" t="s">
        <v>18</v>
      </c>
      <c r="G203" s="9" t="n">
        <v>125819</v>
      </c>
      <c r="H203" s="9" t="n">
        <v>101631</v>
      </c>
      <c r="I203" s="9" t="n">
        <v>284628</v>
      </c>
      <c r="J203" s="10" t="n">
        <f aca="false">G203-H203</f>
        <v>24188</v>
      </c>
      <c r="K203" s="11" t="n">
        <f aca="false">J203/I203</f>
        <v>0.0849810981351097</v>
      </c>
      <c r="L203" s="11" t="n">
        <f aca="false">I203/N203</f>
        <v>0.613399940088402</v>
      </c>
      <c r="M203" s="4" t="n">
        <f aca="false">INDEX('Lok Sabha seats'!$E:$E,MATCH(D203,'Lok Sabha seats'!$A:$A,0))</f>
        <v>0.05880974497907</v>
      </c>
      <c r="N203" s="9" t="n">
        <v>464017</v>
      </c>
      <c r="O203" s="15"/>
      <c r="P203" s="10" t="n">
        <f aca="false">IF(O203&lt;&gt;"",O203,ROUND(N203*M203/(1+M203),0))</f>
        <v>25773</v>
      </c>
      <c r="Q203" s="16" t="n">
        <f aca="false">P203/J203</f>
        <v>1.06552836117083</v>
      </c>
      <c r="R203" s="2" t="str">
        <f aca="false">IF(P203&gt;J203,"Yes","No")</f>
        <v>Yes</v>
      </c>
      <c r="S203" s="2" t="str">
        <f aca="false">IF(P203*L203&gt;J203,"Yes","No")</f>
        <v>No</v>
      </c>
      <c r="T203" s="2" t="s">
        <v>294</v>
      </c>
    </row>
    <row r="204" customFormat="false" ht="15" hidden="false" customHeight="false" outlineLevel="0" collapsed="false">
      <c r="A204" s="2" t="n">
        <v>203</v>
      </c>
      <c r="B204" s="2" t="s">
        <v>121</v>
      </c>
      <c r="C204" s="2" t="s">
        <v>51</v>
      </c>
      <c r="D204" s="2" t="s">
        <v>119</v>
      </c>
      <c r="E204" s="2" t="s">
        <v>25</v>
      </c>
      <c r="F204" s="2" t="s">
        <v>18</v>
      </c>
      <c r="G204" s="9" t="n">
        <v>126455</v>
      </c>
      <c r="H204" s="9" t="n">
        <v>106817</v>
      </c>
      <c r="I204" s="9" t="n">
        <v>292547</v>
      </c>
      <c r="J204" s="10" t="n">
        <f aca="false">G204-H204</f>
        <v>19638</v>
      </c>
      <c r="K204" s="11" t="n">
        <f aca="false">J204/I204</f>
        <v>0.0671276752111627</v>
      </c>
      <c r="L204" s="11" t="n">
        <f aca="false">I204/N204</f>
        <v>0.679902295725089</v>
      </c>
      <c r="M204" s="4" t="n">
        <f aca="false">INDEX('Lok Sabha seats'!$E:$E,MATCH(D204,'Lok Sabha seats'!$A:$A,0))</f>
        <v>0.05880974497907</v>
      </c>
      <c r="N204" s="9" t="n">
        <v>430278</v>
      </c>
      <c r="O204" s="15"/>
      <c r="P204" s="10" t="n">
        <f aca="false">IF(O204&lt;&gt;"",O204,ROUND(N204*M204/(1+M204),0))</f>
        <v>23899</v>
      </c>
      <c r="Q204" s="16" t="n">
        <f aca="false">P204/J204</f>
        <v>1.21697728892963</v>
      </c>
      <c r="R204" s="2" t="str">
        <f aca="false">IF(P204&gt;J204,"Yes","No")</f>
        <v>Yes</v>
      </c>
      <c r="S204" s="2" t="str">
        <f aca="false">IF(P204*L204&gt;J204,"Yes","No")</f>
        <v>No</v>
      </c>
      <c r="T204" s="2" t="s">
        <v>294</v>
      </c>
    </row>
    <row r="205" customFormat="false" ht="15" hidden="false" customHeight="false" outlineLevel="0" collapsed="false">
      <c r="A205" s="2" t="n">
        <v>204</v>
      </c>
      <c r="B205" s="2" t="s">
        <v>72</v>
      </c>
      <c r="C205" s="2" t="s">
        <v>51</v>
      </c>
      <c r="D205" s="2" t="s">
        <v>72</v>
      </c>
      <c r="E205" s="2" t="s">
        <v>25</v>
      </c>
      <c r="F205" s="2" t="s">
        <v>18</v>
      </c>
      <c r="G205" s="9" t="n">
        <v>191255</v>
      </c>
      <c r="H205" s="9" t="n">
        <v>82690</v>
      </c>
      <c r="I205" s="9" t="n">
        <v>279081</v>
      </c>
      <c r="J205" s="10" t="n">
        <f aca="false">G205-H205</f>
        <v>108565</v>
      </c>
      <c r="K205" s="11" t="n">
        <f aca="false">J205/I205</f>
        <v>0.389008925724073</v>
      </c>
      <c r="L205" s="11" t="n">
        <f aca="false">I205/N205</f>
        <v>0.722685746247786</v>
      </c>
      <c r="M205" s="4" t="n">
        <f aca="false">INDEX('Lok Sabha seats'!$E:$E,MATCH(D205,'Lok Sabha seats'!$A:$A,0))</f>
        <v>0.0654881319975335</v>
      </c>
      <c r="N205" s="9" t="n">
        <v>386172</v>
      </c>
      <c r="O205" s="15"/>
      <c r="P205" s="10" t="n">
        <f aca="false">IF(O205&lt;&gt;"",O205,ROUND(N205*M205/(1+M205),0))</f>
        <v>23735</v>
      </c>
      <c r="Q205" s="16" t="n">
        <f aca="false">P205/J205</f>
        <v>0.218624786993967</v>
      </c>
      <c r="R205" s="2" t="str">
        <f aca="false">IF(P205&gt;J205,"Yes","No")</f>
        <v>No</v>
      </c>
      <c r="S205" s="2" t="str">
        <f aca="false">IF(P205*L205&gt;J205,"Yes","No")</f>
        <v>No</v>
      </c>
      <c r="T205" s="2" t="s">
        <v>294</v>
      </c>
    </row>
    <row r="206" customFormat="false" ht="15" hidden="false" customHeight="false" outlineLevel="0" collapsed="false">
      <c r="A206" s="2" t="n">
        <v>205</v>
      </c>
      <c r="B206" s="2" t="s">
        <v>319</v>
      </c>
      <c r="C206" s="2" t="s">
        <v>51</v>
      </c>
      <c r="D206" s="2" t="s">
        <v>72</v>
      </c>
      <c r="E206" s="2" t="s">
        <v>17</v>
      </c>
      <c r="F206" s="2" t="s">
        <v>18</v>
      </c>
      <c r="G206" s="9" t="n">
        <v>235323</v>
      </c>
      <c r="H206" s="9" t="n">
        <v>131458</v>
      </c>
      <c r="I206" s="9" t="n">
        <v>388884</v>
      </c>
      <c r="J206" s="10" t="n">
        <f aca="false">G206-H206</f>
        <v>103865</v>
      </c>
      <c r="K206" s="11" t="n">
        <f aca="false">J206/I206</f>
        <v>0.267084786208741</v>
      </c>
      <c r="L206" s="11" t="n">
        <f aca="false">I206/N206</f>
        <v>0.58600227237795</v>
      </c>
      <c r="M206" s="4" t="n">
        <f aca="false">INDEX('Lok Sabha seats'!$E:$E,MATCH(D206,'Lok Sabha seats'!$A:$A,0))</f>
        <v>0.0654881319975335</v>
      </c>
      <c r="N206" s="9" t="n">
        <v>663622</v>
      </c>
      <c r="O206" s="15"/>
      <c r="P206" s="10" t="n">
        <f aca="false">IF(O206&lt;&gt;"",O206,ROUND(N206*M206/(1+M206),0))</f>
        <v>40788</v>
      </c>
      <c r="Q206" s="16" t="n">
        <f aca="false">P206/J206</f>
        <v>0.392702065180764</v>
      </c>
      <c r="R206" s="2" t="str">
        <f aca="false">IF(P206&gt;J206,"Yes","No")</f>
        <v>No</v>
      </c>
      <c r="S206" s="2" t="str">
        <f aca="false">IF(P206*L206&gt;J206,"Yes","No")</f>
        <v>No</v>
      </c>
      <c r="T206" s="2" t="s">
        <v>294</v>
      </c>
    </row>
    <row r="207" customFormat="false" ht="15" hidden="false" customHeight="false" outlineLevel="0" collapsed="false">
      <c r="A207" s="2" t="n">
        <v>206</v>
      </c>
      <c r="B207" s="2" t="s">
        <v>320</v>
      </c>
      <c r="C207" s="2" t="s">
        <v>51</v>
      </c>
      <c r="D207" s="2" t="s">
        <v>72</v>
      </c>
      <c r="E207" s="2" t="s">
        <v>25</v>
      </c>
      <c r="F207" s="2" t="s">
        <v>18</v>
      </c>
      <c r="G207" s="9" t="n">
        <v>109239</v>
      </c>
      <c r="H207" s="9" t="n">
        <v>72575</v>
      </c>
      <c r="I207" s="9" t="n">
        <v>203403</v>
      </c>
      <c r="J207" s="10" t="n">
        <f aca="false">G207-H207</f>
        <v>36664</v>
      </c>
      <c r="K207" s="11" t="n">
        <f aca="false">J207/I207</f>
        <v>0.180252995285222</v>
      </c>
      <c r="L207" s="11" t="n">
        <f aca="false">I207/N207</f>
        <v>0.519405935031805</v>
      </c>
      <c r="M207" s="4" t="n">
        <f aca="false">INDEX('Lok Sabha seats'!$E:$E,MATCH(D207,'Lok Sabha seats'!$A:$A,0))</f>
        <v>0.0654881319975335</v>
      </c>
      <c r="N207" s="9" t="n">
        <v>391607</v>
      </c>
      <c r="O207" s="15"/>
      <c r="P207" s="10" t="n">
        <f aca="false">IF(O207&lt;&gt;"",O207,ROUND(N207*M207/(1+M207),0))</f>
        <v>24069</v>
      </c>
      <c r="Q207" s="16" t="n">
        <f aca="false">P207/J207</f>
        <v>0.656475016364827</v>
      </c>
      <c r="R207" s="2" t="str">
        <f aca="false">IF(P207&gt;J207,"Yes","No")</f>
        <v>No</v>
      </c>
      <c r="S207" s="2" t="str">
        <f aca="false">IF(P207*L207&gt;J207,"Yes","No")</f>
        <v>No</v>
      </c>
      <c r="T207" s="2" t="s">
        <v>294</v>
      </c>
    </row>
    <row r="208" customFormat="false" ht="15" hidden="false" customHeight="false" outlineLevel="0" collapsed="false">
      <c r="A208" s="2" t="n">
        <v>207</v>
      </c>
      <c r="B208" s="2" t="s">
        <v>321</v>
      </c>
      <c r="C208" s="2" t="s">
        <v>51</v>
      </c>
      <c r="D208" s="2" t="s">
        <v>24</v>
      </c>
      <c r="E208" s="2" t="s">
        <v>17</v>
      </c>
      <c r="F208" s="2" t="s">
        <v>18</v>
      </c>
      <c r="G208" s="9" t="n">
        <v>213624</v>
      </c>
      <c r="H208" s="9" t="n">
        <v>149859</v>
      </c>
      <c r="I208" s="9" t="n">
        <v>375404</v>
      </c>
      <c r="J208" s="10" t="n">
        <f aca="false">G208-H208</f>
        <v>63765</v>
      </c>
      <c r="K208" s="11" t="n">
        <f aca="false">J208/I208</f>
        <v>0.169857007384045</v>
      </c>
      <c r="L208" s="11" t="n">
        <f aca="false">I208/N208</f>
        <v>0.617009491720426</v>
      </c>
      <c r="M208" s="4" t="n">
        <f aca="false">INDEX('Lok Sabha seats'!$E:$E,MATCH(D208,'Lok Sabha seats'!$A:$A,0))</f>
        <v>0.0697243219873828</v>
      </c>
      <c r="N208" s="9" t="n">
        <v>608425</v>
      </c>
      <c r="O208" s="15"/>
      <c r="P208" s="10" t="n">
        <f aca="false">IF(O208&lt;&gt;"",O208,ROUND(N208*M208/(1+M208),0))</f>
        <v>39657</v>
      </c>
      <c r="Q208" s="16" t="n">
        <f aca="false">P208/J208</f>
        <v>0.621924253116914</v>
      </c>
      <c r="R208" s="2" t="str">
        <f aca="false">IF(P208&gt;J208,"Yes","No")</f>
        <v>No</v>
      </c>
      <c r="S208" s="2" t="str">
        <f aca="false">IF(P208*L208&gt;J208,"Yes","No")</f>
        <v>No</v>
      </c>
      <c r="T208" s="2" t="s">
        <v>294</v>
      </c>
    </row>
    <row r="209" customFormat="false" ht="15" hidden="false" customHeight="false" outlineLevel="0" collapsed="false">
      <c r="A209" s="2" t="n">
        <v>208</v>
      </c>
      <c r="B209" s="2" t="s">
        <v>50</v>
      </c>
      <c r="C209" s="2" t="s">
        <v>51</v>
      </c>
      <c r="D209" s="2" t="s">
        <v>51</v>
      </c>
      <c r="E209" s="2" t="s">
        <v>34</v>
      </c>
      <c r="F209" s="2" t="s">
        <v>22</v>
      </c>
      <c r="G209" s="9" t="n">
        <v>133689</v>
      </c>
      <c r="H209" s="9" t="n">
        <v>128979</v>
      </c>
      <c r="I209" s="9" t="n">
        <v>284009</v>
      </c>
      <c r="J209" s="10" t="n">
        <f aca="false">G209-H209</f>
        <v>4710</v>
      </c>
      <c r="K209" s="11" t="n">
        <f aca="false">J209/I209</f>
        <v>0.0165839814935442</v>
      </c>
      <c r="L209" s="11" t="n">
        <f aca="false">I209/N209</f>
        <v>0.56402582520917</v>
      </c>
      <c r="M209" s="4" t="n">
        <f aca="false">INDEX('Lok Sabha seats'!$E:$E,MATCH(D209,'Lok Sabha seats'!$A:$A,0))</f>
        <v>0.0572111643467444</v>
      </c>
      <c r="N209" s="9" t="n">
        <v>503539</v>
      </c>
      <c r="O209" s="15"/>
      <c r="P209" s="10" t="n">
        <f aca="false">IF(O209&lt;&gt;"",O209,ROUND(N209*M209/(1+M209),0))</f>
        <v>27249</v>
      </c>
      <c r="Q209" s="16" t="n">
        <f aca="false">P209/J209</f>
        <v>5.78535031847134</v>
      </c>
      <c r="R209" s="2" t="str">
        <f aca="false">IF(P209&gt;J209,"Yes","No")</f>
        <v>Yes</v>
      </c>
      <c r="S209" s="2" t="str">
        <f aca="false">IF(P209*L209&gt;J209,"Yes","No")</f>
        <v>Yes</v>
      </c>
      <c r="T209" s="2" t="s">
        <v>171</v>
      </c>
    </row>
    <row r="210" customFormat="false" ht="15" hidden="false" customHeight="false" outlineLevel="0" collapsed="false">
      <c r="A210" s="2" t="n">
        <v>209</v>
      </c>
      <c r="B210" s="2" t="s">
        <v>322</v>
      </c>
      <c r="C210" s="2" t="s">
        <v>51</v>
      </c>
      <c r="D210" s="2" t="s">
        <v>51</v>
      </c>
      <c r="E210" s="2" t="s">
        <v>17</v>
      </c>
      <c r="F210" s="2" t="s">
        <v>18</v>
      </c>
      <c r="G210" s="9" t="n">
        <v>84695</v>
      </c>
      <c r="H210" s="9" t="n">
        <v>47993</v>
      </c>
      <c r="I210" s="9" t="n">
        <v>153314</v>
      </c>
      <c r="J210" s="10" t="n">
        <f aca="false">G210-H210</f>
        <v>36702</v>
      </c>
      <c r="K210" s="11" t="n">
        <f aca="false">J210/I210</f>
        <v>0.239391053654591</v>
      </c>
      <c r="L210" s="11" t="n">
        <f aca="false">I210/N210</f>
        <v>0.519502434627622</v>
      </c>
      <c r="M210" s="4" t="n">
        <f aca="false">INDEX('Lok Sabha seats'!$E:$E,MATCH(D210,'Lok Sabha seats'!$A:$A,0))</f>
        <v>0.0572111643467444</v>
      </c>
      <c r="N210" s="9" t="n">
        <v>295117</v>
      </c>
      <c r="O210" s="15"/>
      <c r="P210" s="10" t="n">
        <f aca="false">IF(O210&lt;&gt;"",O210,ROUND(N210*M210/(1+M210),0))</f>
        <v>15970</v>
      </c>
      <c r="Q210" s="16" t="n">
        <f aca="false">P210/J210</f>
        <v>0.435126151163424</v>
      </c>
      <c r="R210" s="2" t="str">
        <f aca="false">IF(P210&gt;J210,"Yes","No")</f>
        <v>No</v>
      </c>
      <c r="S210" s="2" t="str">
        <f aca="false">IF(P210*L210&gt;J210,"Yes","No")</f>
        <v>No</v>
      </c>
      <c r="T210" s="2" t="s">
        <v>294</v>
      </c>
    </row>
    <row r="211" customFormat="false" ht="15" hidden="false" customHeight="false" outlineLevel="0" collapsed="false">
      <c r="A211" s="2" t="n">
        <v>210</v>
      </c>
      <c r="B211" s="2" t="s">
        <v>323</v>
      </c>
      <c r="C211" s="2" t="s">
        <v>51</v>
      </c>
      <c r="D211" s="2" t="s">
        <v>51</v>
      </c>
      <c r="E211" s="2" t="s">
        <v>17</v>
      </c>
      <c r="F211" s="2" t="s">
        <v>18</v>
      </c>
      <c r="G211" s="9" t="n">
        <v>159234</v>
      </c>
      <c r="H211" s="9" t="n">
        <v>47193</v>
      </c>
      <c r="I211" s="9" t="n">
        <v>232792</v>
      </c>
      <c r="J211" s="10" t="n">
        <f aca="false">G211-H211</f>
        <v>112041</v>
      </c>
      <c r="K211" s="11" t="n">
        <f aca="false">J211/I211</f>
        <v>0.4812923124506</v>
      </c>
      <c r="L211" s="11" t="n">
        <f aca="false">I211/N211</f>
        <v>0.528403816078283</v>
      </c>
      <c r="M211" s="4" t="n">
        <f aca="false">INDEX('Lok Sabha seats'!$E:$E,MATCH(D211,'Lok Sabha seats'!$A:$A,0))</f>
        <v>0.0572111643467444</v>
      </c>
      <c r="N211" s="9" t="n">
        <v>440557</v>
      </c>
      <c r="O211" s="15"/>
      <c r="P211" s="10" t="n">
        <f aca="false">IF(O211&lt;&gt;"",O211,ROUND(N211*M211/(1+M211),0))</f>
        <v>23841</v>
      </c>
      <c r="Q211" s="16" t="n">
        <f aca="false">P211/J211</f>
        <v>0.212788175757089</v>
      </c>
      <c r="R211" s="2" t="str">
        <f aca="false">IF(P211&gt;J211,"Yes","No")</f>
        <v>No</v>
      </c>
      <c r="S211" s="2" t="str">
        <f aca="false">IF(P211*L211&gt;J211,"Yes","No")</f>
        <v>No</v>
      </c>
      <c r="T211" s="2" t="s">
        <v>294</v>
      </c>
    </row>
    <row r="212" customFormat="false" ht="15" hidden="false" customHeight="false" outlineLevel="0" collapsed="false">
      <c r="A212" s="2" t="n">
        <v>211</v>
      </c>
      <c r="B212" s="2" t="s">
        <v>324</v>
      </c>
      <c r="C212" s="2" t="s">
        <v>51</v>
      </c>
      <c r="D212" s="2" t="s">
        <v>119</v>
      </c>
      <c r="E212" s="2" t="s">
        <v>17</v>
      </c>
      <c r="F212" s="2" t="s">
        <v>18</v>
      </c>
      <c r="G212" s="9" t="n">
        <v>163131</v>
      </c>
      <c r="H212" s="9" t="n">
        <v>110809</v>
      </c>
      <c r="I212" s="9" t="n">
        <v>326667</v>
      </c>
      <c r="J212" s="10" t="n">
        <f aca="false">G212-H212</f>
        <v>52322</v>
      </c>
      <c r="K212" s="11" t="n">
        <f aca="false">J212/I212</f>
        <v>0.160169224317118</v>
      </c>
      <c r="L212" s="11" t="n">
        <f aca="false">I212/N212</f>
        <v>0.566633420351948</v>
      </c>
      <c r="M212" s="4" t="n">
        <f aca="false">INDEX('Lok Sabha seats'!$E:$E,MATCH(D212,'Lok Sabha seats'!$A:$A,0))</f>
        <v>0.05880974497907</v>
      </c>
      <c r="N212" s="9" t="n">
        <v>576505</v>
      </c>
      <c r="O212" s="15"/>
      <c r="P212" s="10" t="n">
        <f aca="false">IF(O212&lt;&gt;"",O212,ROUND(N212*M212/(1+M212),0))</f>
        <v>32021</v>
      </c>
      <c r="Q212" s="16" t="n">
        <f aca="false">P212/J212</f>
        <v>0.611998776805168</v>
      </c>
      <c r="R212" s="2" t="str">
        <f aca="false">IF(P212&gt;J212,"Yes","No")</f>
        <v>No</v>
      </c>
      <c r="S212" s="2" t="str">
        <f aca="false">IF(P212*L212&gt;J212,"Yes","No")</f>
        <v>No</v>
      </c>
      <c r="T212" s="2" t="s">
        <v>294</v>
      </c>
    </row>
    <row r="213" customFormat="false" ht="15" hidden="false" customHeight="false" outlineLevel="0" collapsed="false">
      <c r="A213" s="2" t="n">
        <v>212</v>
      </c>
      <c r="B213" s="2" t="s">
        <v>325</v>
      </c>
      <c r="C213" s="2" t="s">
        <v>51</v>
      </c>
      <c r="D213" s="2" t="s">
        <v>51</v>
      </c>
      <c r="E213" s="2" t="s">
        <v>17</v>
      </c>
      <c r="F213" s="2" t="s">
        <v>18</v>
      </c>
      <c r="G213" s="9" t="n">
        <v>118193</v>
      </c>
      <c r="H213" s="9" t="n">
        <v>63533</v>
      </c>
      <c r="I213" s="9" t="n">
        <v>203252</v>
      </c>
      <c r="J213" s="10" t="n">
        <f aca="false">G213-H213</f>
        <v>54660</v>
      </c>
      <c r="K213" s="11" t="n">
        <f aca="false">J213/I213</f>
        <v>0.268927243028359</v>
      </c>
      <c r="L213" s="11" t="n">
        <f aca="false">I213/N213</f>
        <v>0.563065483940672</v>
      </c>
      <c r="M213" s="4" t="n">
        <f aca="false">INDEX('Lok Sabha seats'!$E:$E,MATCH(D213,'Lok Sabha seats'!$A:$A,0))</f>
        <v>0.0572111643467444</v>
      </c>
      <c r="N213" s="9" t="n">
        <v>360974</v>
      </c>
      <c r="O213" s="15"/>
      <c r="P213" s="10" t="n">
        <f aca="false">IF(O213&lt;&gt;"",O213,ROUND(N213*M213/(1+M213),0))</f>
        <v>19534</v>
      </c>
      <c r="Q213" s="16" t="n">
        <f aca="false">P213/J213</f>
        <v>0.357372850347603</v>
      </c>
      <c r="R213" s="2" t="str">
        <f aca="false">IF(P213&gt;J213,"Yes","No")</f>
        <v>No</v>
      </c>
      <c r="S213" s="2" t="str">
        <f aca="false">IF(P213*L213&gt;J213,"Yes","No")</f>
        <v>No</v>
      </c>
      <c r="T213" s="2" t="s">
        <v>171</v>
      </c>
    </row>
    <row r="214" customFormat="false" ht="15" hidden="false" customHeight="false" outlineLevel="0" collapsed="false">
      <c r="A214" s="2" t="n">
        <v>213</v>
      </c>
      <c r="B214" s="2" t="s">
        <v>52</v>
      </c>
      <c r="C214" s="2" t="s">
        <v>51</v>
      </c>
      <c r="D214" s="2" t="s">
        <v>24</v>
      </c>
      <c r="E214" s="2" t="s">
        <v>25</v>
      </c>
      <c r="F214" s="2" t="s">
        <v>18</v>
      </c>
      <c r="G214" s="9" t="n">
        <v>134810</v>
      </c>
      <c r="H214" s="9" t="n">
        <v>127688</v>
      </c>
      <c r="I214" s="9" t="n">
        <v>317477</v>
      </c>
      <c r="J214" s="10" t="n">
        <f aca="false">G214-H214</f>
        <v>7122</v>
      </c>
      <c r="K214" s="11" t="n">
        <f aca="false">J214/I214</f>
        <v>0.0224331211394841</v>
      </c>
      <c r="L214" s="11" t="n">
        <f aca="false">I214/N214</f>
        <v>0.50741519159308</v>
      </c>
      <c r="M214" s="4" t="n">
        <f aca="false">INDEX('Lok Sabha seats'!$E:$E,MATCH(D214,'Lok Sabha seats'!$A:$A,0))</f>
        <v>0.0697243219873828</v>
      </c>
      <c r="N214" s="9" t="n">
        <v>625675</v>
      </c>
      <c r="O214" s="15"/>
      <c r="P214" s="10" t="n">
        <f aca="false">IF(O214&lt;&gt;"",O214,ROUND(N214*M214/(1+M214),0))</f>
        <v>40781</v>
      </c>
      <c r="Q214" s="16" t="n">
        <f aca="false">P214/J214</f>
        <v>5.7260600954788</v>
      </c>
      <c r="R214" s="2" t="str">
        <f aca="false">IF(P214&gt;J214,"Yes","No")</f>
        <v>Yes</v>
      </c>
      <c r="S214" s="2" t="str">
        <f aca="false">IF(P214*L214&gt;J214,"Yes","No")</f>
        <v>Yes</v>
      </c>
      <c r="T214" s="2" t="s">
        <v>171</v>
      </c>
    </row>
    <row r="215" customFormat="false" ht="15" hidden="false" customHeight="false" outlineLevel="0" collapsed="false">
      <c r="A215" s="2" t="n">
        <v>214</v>
      </c>
      <c r="B215" s="2" t="s">
        <v>111</v>
      </c>
      <c r="C215" s="2" t="s">
        <v>51</v>
      </c>
      <c r="D215" s="2" t="s">
        <v>51</v>
      </c>
      <c r="E215" s="2" t="s">
        <v>17</v>
      </c>
      <c r="F215" s="2" t="s">
        <v>18</v>
      </c>
      <c r="G215" s="9" t="n">
        <v>76032</v>
      </c>
      <c r="H215" s="9" t="n">
        <v>65712</v>
      </c>
      <c r="I215" s="9" t="n">
        <v>156967</v>
      </c>
      <c r="J215" s="10" t="n">
        <f aca="false">G215-H215</f>
        <v>10320</v>
      </c>
      <c r="K215" s="11" t="n">
        <f aca="false">J215/I215</f>
        <v>0.0657463033631273</v>
      </c>
      <c r="L215" s="11" t="n">
        <f aca="false">I215/N215</f>
        <v>0.531403403050965</v>
      </c>
      <c r="M215" s="4" t="n">
        <f aca="false">INDEX('Lok Sabha seats'!$E:$E,MATCH(D215,'Lok Sabha seats'!$A:$A,0))</f>
        <v>0.0572111643467444</v>
      </c>
      <c r="N215" s="9" t="n">
        <v>295382</v>
      </c>
      <c r="O215" s="15"/>
      <c r="P215" s="10" t="n">
        <f aca="false">IF(O215&lt;&gt;"",O215,ROUND(N215*M215/(1+M215),0))</f>
        <v>15985</v>
      </c>
      <c r="Q215" s="16" t="n">
        <f aca="false">P215/J215</f>
        <v>1.54893410852713</v>
      </c>
      <c r="R215" s="2" t="str">
        <f aca="false">IF(P215&gt;J215,"Yes","No")</f>
        <v>Yes</v>
      </c>
      <c r="S215" s="2" t="str">
        <f aca="false">IF(P215*L215&gt;J215,"Yes","No")</f>
        <v>No</v>
      </c>
      <c r="T215" s="2" t="s">
        <v>294</v>
      </c>
    </row>
    <row r="216" customFormat="false" ht="15" hidden="false" customHeight="false" outlineLevel="0" collapsed="false">
      <c r="A216" s="2" t="n">
        <v>215</v>
      </c>
      <c r="B216" s="2" t="s">
        <v>326</v>
      </c>
      <c r="C216" s="2" t="s">
        <v>51</v>
      </c>
      <c r="D216" s="2" t="s">
        <v>51</v>
      </c>
      <c r="E216" s="2" t="s">
        <v>17</v>
      </c>
      <c r="F216" s="2" t="s">
        <v>18</v>
      </c>
      <c r="G216" s="9" t="n">
        <v>90046</v>
      </c>
      <c r="H216" s="9" t="n">
        <v>70623</v>
      </c>
      <c r="I216" s="9" t="n">
        <v>168607</v>
      </c>
      <c r="J216" s="10" t="n">
        <f aca="false">G216-H216</f>
        <v>19423</v>
      </c>
      <c r="K216" s="11" t="n">
        <f aca="false">J216/I216</f>
        <v>0.115196877946942</v>
      </c>
      <c r="L216" s="11" t="n">
        <f aca="false">I216/N216</f>
        <v>0.594450614345902</v>
      </c>
      <c r="M216" s="4" t="n">
        <f aca="false">INDEX('Lok Sabha seats'!$E:$E,MATCH(D216,'Lok Sabha seats'!$A:$A,0))</f>
        <v>0.0572111643467444</v>
      </c>
      <c r="N216" s="9" t="n">
        <v>283635</v>
      </c>
      <c r="O216" s="15"/>
      <c r="P216" s="10" t="n">
        <f aca="false">IF(O216&lt;&gt;"",O216,ROUND(N216*M216/(1+M216),0))</f>
        <v>15349</v>
      </c>
      <c r="Q216" s="16" t="n">
        <f aca="false">P216/J216</f>
        <v>0.790248674252175</v>
      </c>
      <c r="R216" s="2" t="str">
        <f aca="false">IF(P216&gt;J216,"Yes","No")</f>
        <v>No</v>
      </c>
      <c r="S216" s="2" t="str">
        <f aca="false">IF(P216*L216&gt;J216,"Yes","No")</f>
        <v>No</v>
      </c>
      <c r="T216" s="2" t="s">
        <v>294</v>
      </c>
    </row>
    <row r="217" customFormat="false" ht="15" hidden="false" customHeight="false" outlineLevel="0" collapsed="false">
      <c r="A217" s="2" t="n">
        <v>216</v>
      </c>
      <c r="B217" s="2" t="s">
        <v>112</v>
      </c>
      <c r="C217" s="2" t="s">
        <v>33</v>
      </c>
      <c r="D217" s="2" t="s">
        <v>88</v>
      </c>
      <c r="E217" s="2" t="s">
        <v>25</v>
      </c>
      <c r="F217" s="2" t="s">
        <v>18</v>
      </c>
      <c r="G217" s="9" t="n">
        <v>73958</v>
      </c>
      <c r="H217" s="9" t="n">
        <v>68402</v>
      </c>
      <c r="I217" s="9" t="n">
        <v>195413</v>
      </c>
      <c r="J217" s="10" t="n">
        <f aca="false">G217-H217</f>
        <v>5556</v>
      </c>
      <c r="K217" s="11" t="n">
        <f aca="false">J217/I217</f>
        <v>0.028432089983778</v>
      </c>
      <c r="L217" s="11" t="n">
        <f aca="false">I217/N217</f>
        <v>0.730488579866173</v>
      </c>
      <c r="M217" s="4" t="n">
        <f aca="false">INDEX('Lok Sabha seats'!$E:$E,MATCH(D217,'Lok Sabha seats'!$A:$A,0))</f>
        <v>0.0323000473966143</v>
      </c>
      <c r="N217" s="9" t="n">
        <v>267510</v>
      </c>
      <c r="O217" s="15"/>
      <c r="P217" s="10" t="n">
        <f aca="false">IF(O217&lt;&gt;"",O217,ROUND(N217*M217/(1+M217),0))</f>
        <v>8370</v>
      </c>
      <c r="Q217" s="16" t="n">
        <f aca="false">P217/J217</f>
        <v>1.50647948164147</v>
      </c>
      <c r="R217" s="2" t="str">
        <f aca="false">IF(P217&gt;J217,"Yes","No")</f>
        <v>Yes</v>
      </c>
      <c r="S217" s="2" t="str">
        <f aca="false">IF(P217*L217&gt;J217,"Yes","No")</f>
        <v>Yes</v>
      </c>
      <c r="T217" s="2" t="s">
        <v>171</v>
      </c>
    </row>
    <row r="218" customFormat="false" ht="15" hidden="false" customHeight="false" outlineLevel="0" collapsed="false">
      <c r="A218" s="2" t="n">
        <v>217</v>
      </c>
      <c r="B218" s="2" t="s">
        <v>327</v>
      </c>
      <c r="C218" s="2" t="s">
        <v>33</v>
      </c>
      <c r="D218" s="2" t="s">
        <v>88</v>
      </c>
      <c r="E218" s="2" t="s">
        <v>27</v>
      </c>
      <c r="F218" s="2" t="s">
        <v>18</v>
      </c>
      <c r="G218" s="9" t="n">
        <v>112386</v>
      </c>
      <c r="H218" s="9" t="n">
        <v>101826</v>
      </c>
      <c r="I218" s="9" t="n">
        <v>220581</v>
      </c>
      <c r="J218" s="10" t="n">
        <f aca="false">G218-H218</f>
        <v>10560</v>
      </c>
      <c r="K218" s="11" t="n">
        <f aca="false">J218/I218</f>
        <v>0.0478735702531043</v>
      </c>
      <c r="L218" s="11" t="n">
        <f aca="false">I218/N218</f>
        <v>0.762796793625983</v>
      </c>
      <c r="M218" s="4" t="n">
        <f aca="false">INDEX('Lok Sabha seats'!$E:$E,MATCH(D218,'Lok Sabha seats'!$A:$A,0))</f>
        <v>0.0323000473966143</v>
      </c>
      <c r="N218" s="9" t="n">
        <v>289174</v>
      </c>
      <c r="O218" s="15"/>
      <c r="P218" s="10" t="n">
        <f aca="false">IF(O218&lt;&gt;"",O218,ROUND(N218*M218/(1+M218),0))</f>
        <v>9048</v>
      </c>
      <c r="Q218" s="16" t="n">
        <f aca="false">P218/J218</f>
        <v>0.856818181818182</v>
      </c>
      <c r="R218" s="2" t="str">
        <f aca="false">IF(P218&gt;J218,"Yes","No")</f>
        <v>No</v>
      </c>
      <c r="S218" s="2" t="str">
        <f aca="false">IF(P218*L218&gt;J218,"Yes","No")</f>
        <v>No</v>
      </c>
      <c r="T218" s="2" t="s">
        <v>294</v>
      </c>
    </row>
    <row r="219" customFormat="false" ht="15" hidden="false" customHeight="false" outlineLevel="0" collapsed="false">
      <c r="A219" s="2" t="n">
        <v>218</v>
      </c>
      <c r="B219" s="2" t="s">
        <v>88</v>
      </c>
      <c r="C219" s="2" t="s">
        <v>33</v>
      </c>
      <c r="D219" s="2" t="s">
        <v>88</v>
      </c>
      <c r="E219" s="2" t="s">
        <v>17</v>
      </c>
      <c r="F219" s="2" t="s">
        <v>18</v>
      </c>
      <c r="G219" s="9" t="n">
        <v>144778</v>
      </c>
      <c r="H219" s="9" t="n">
        <v>74496</v>
      </c>
      <c r="I219" s="9" t="n">
        <v>223471</v>
      </c>
      <c r="J219" s="10" t="n">
        <f aca="false">G219-H219</f>
        <v>70282</v>
      </c>
      <c r="K219" s="11" t="n">
        <f aca="false">J219/I219</f>
        <v>0.314501657933244</v>
      </c>
      <c r="L219" s="11" t="n">
        <f aca="false">I219/N219</f>
        <v>0.762931402371369</v>
      </c>
      <c r="M219" s="4" t="n">
        <f aca="false">INDEX('Lok Sabha seats'!$E:$E,MATCH(D219,'Lok Sabha seats'!$A:$A,0))</f>
        <v>0.0323000473966143</v>
      </c>
      <c r="N219" s="9" t="n">
        <v>292911</v>
      </c>
      <c r="O219" s="15"/>
      <c r="P219" s="10" t="n">
        <f aca="false">IF(O219&lt;&gt;"",O219,ROUND(N219*M219/(1+M219),0))</f>
        <v>9165</v>
      </c>
      <c r="Q219" s="16" t="n">
        <f aca="false">P219/J219</f>
        <v>0.130403232691158</v>
      </c>
      <c r="R219" s="2" t="str">
        <f aca="false">IF(P219&gt;J219,"Yes","No")</f>
        <v>No</v>
      </c>
      <c r="S219" s="2" t="str">
        <f aca="false">IF(P219*L219&gt;J219,"Yes","No")</f>
        <v>No</v>
      </c>
      <c r="T219" s="2" t="s">
        <v>294</v>
      </c>
    </row>
    <row r="220" customFormat="false" ht="15" hidden="false" customHeight="false" outlineLevel="0" collapsed="false">
      <c r="A220" s="2" t="n">
        <v>219</v>
      </c>
      <c r="B220" s="2" t="s">
        <v>328</v>
      </c>
      <c r="C220" s="2" t="s">
        <v>33</v>
      </c>
      <c r="D220" s="2" t="s">
        <v>88</v>
      </c>
      <c r="E220" s="2" t="s">
        <v>25</v>
      </c>
      <c r="F220" s="2" t="s">
        <v>18</v>
      </c>
      <c r="G220" s="9" t="n">
        <v>161147</v>
      </c>
      <c r="H220" s="9" t="n">
        <v>36523</v>
      </c>
      <c r="I220" s="9" t="n">
        <v>208050</v>
      </c>
      <c r="J220" s="10" t="n">
        <f aca="false">G220-H220</f>
        <v>124624</v>
      </c>
      <c r="K220" s="11" t="n">
        <f aca="false">J220/I220</f>
        <v>0.599009853400625</v>
      </c>
      <c r="L220" s="11" t="n">
        <f aca="false">I220/N220</f>
        <v>0.718265804954843</v>
      </c>
      <c r="M220" s="4" t="n">
        <f aca="false">INDEX('Lok Sabha seats'!$E:$E,MATCH(D220,'Lok Sabha seats'!$A:$A,0))</f>
        <v>0.0323000473966143</v>
      </c>
      <c r="N220" s="9" t="n">
        <v>289656</v>
      </c>
      <c r="O220" s="15"/>
      <c r="P220" s="10" t="n">
        <f aca="false">IF(O220&lt;&gt;"",O220,ROUND(N220*M220/(1+M220),0))</f>
        <v>9063</v>
      </c>
      <c r="Q220" s="16" t="n">
        <f aca="false">P220/J220</f>
        <v>0.0727227500320966</v>
      </c>
      <c r="R220" s="2" t="str">
        <f aca="false">IF(P220&gt;J220,"Yes","No")</f>
        <v>No</v>
      </c>
      <c r="S220" s="2" t="str">
        <f aca="false">IF(P220*L220&gt;J220,"Yes","No")</f>
        <v>No</v>
      </c>
      <c r="T220" s="2" t="s">
        <v>171</v>
      </c>
    </row>
    <row r="221" customFormat="false" ht="15" hidden="false" customHeight="false" outlineLevel="0" collapsed="false">
      <c r="A221" s="2" t="n">
        <v>220</v>
      </c>
      <c r="B221" s="2" t="s">
        <v>329</v>
      </c>
      <c r="C221" s="2" t="s">
        <v>33</v>
      </c>
      <c r="D221" s="2" t="s">
        <v>88</v>
      </c>
      <c r="E221" s="2" t="s">
        <v>21</v>
      </c>
      <c r="F221" s="2" t="s">
        <v>22</v>
      </c>
      <c r="G221" s="9" t="n">
        <v>66099</v>
      </c>
      <c r="H221" s="9" t="n">
        <v>52726</v>
      </c>
      <c r="I221" s="9" t="n">
        <v>218755</v>
      </c>
      <c r="J221" s="10" t="n">
        <f aca="false">G221-H221</f>
        <v>13373</v>
      </c>
      <c r="K221" s="11" t="n">
        <f aca="false">J221/I221</f>
        <v>0.061132316975612</v>
      </c>
      <c r="L221" s="11" t="n">
        <f aca="false">I221/N221</f>
        <v>0.707599199096881</v>
      </c>
      <c r="M221" s="4" t="n">
        <f aca="false">INDEX('Lok Sabha seats'!$E:$E,MATCH(D221,'Lok Sabha seats'!$A:$A,0))</f>
        <v>0.0323000473966143</v>
      </c>
      <c r="N221" s="9" t="n">
        <v>309151</v>
      </c>
      <c r="O221" s="15"/>
      <c r="P221" s="10" t="n">
        <f aca="false">IF(O221&lt;&gt;"",O221,ROUND(N221*M221/(1+M221),0))</f>
        <v>9673</v>
      </c>
      <c r="Q221" s="16" t="n">
        <f aca="false">P221/J221</f>
        <v>0.723323113736634</v>
      </c>
      <c r="R221" s="2" t="str">
        <f aca="false">IF(P221&gt;J221,"Yes","No")</f>
        <v>No</v>
      </c>
      <c r="S221" s="2" t="str">
        <f aca="false">IF(P221*L221&gt;J221,"Yes","No")</f>
        <v>No</v>
      </c>
      <c r="T221" s="2" t="s">
        <v>171</v>
      </c>
    </row>
    <row r="222" customFormat="false" ht="15" hidden="false" customHeight="false" outlineLevel="0" collapsed="false">
      <c r="A222" s="2" t="n">
        <v>221</v>
      </c>
      <c r="B222" s="2" t="s">
        <v>87</v>
      </c>
      <c r="C222" s="2" t="s">
        <v>33</v>
      </c>
      <c r="D222" s="2" t="s">
        <v>88</v>
      </c>
      <c r="E222" s="2" t="s">
        <v>27</v>
      </c>
      <c r="F222" s="2" t="s">
        <v>18</v>
      </c>
      <c r="G222" s="9" t="n">
        <v>95444</v>
      </c>
      <c r="H222" s="9" t="n">
        <v>91423</v>
      </c>
      <c r="I222" s="9" t="n">
        <v>227728</v>
      </c>
      <c r="J222" s="10" t="n">
        <f aca="false">G222-H222</f>
        <v>4021</v>
      </c>
      <c r="K222" s="11" t="n">
        <f aca="false">J222/I222</f>
        <v>0.0176570294386285</v>
      </c>
      <c r="L222" s="11" t="n">
        <f aca="false">I222/N222</f>
        <v>0.804377081780644</v>
      </c>
      <c r="M222" s="4" t="n">
        <f aca="false">INDEX('Lok Sabha seats'!$E:$E,MATCH(D222,'Lok Sabha seats'!$A:$A,0))</f>
        <v>0.0323000473966143</v>
      </c>
      <c r="N222" s="9" t="n">
        <v>283111</v>
      </c>
      <c r="O222" s="15"/>
      <c r="P222" s="10" t="n">
        <f aca="false">IF(O222&lt;&gt;"",O222,ROUND(N222*M222/(1+M222),0))</f>
        <v>8858</v>
      </c>
      <c r="Q222" s="16" t="n">
        <f aca="false">P222/J222</f>
        <v>2.20293459338473</v>
      </c>
      <c r="R222" s="2" t="str">
        <f aca="false">IF(P222&gt;J222,"Yes","No")</f>
        <v>Yes</v>
      </c>
      <c r="S222" s="2" t="str">
        <f aca="false">IF(P222*L222&gt;J222,"Yes","No")</f>
        <v>Yes</v>
      </c>
      <c r="T222" s="2" t="s">
        <v>294</v>
      </c>
    </row>
    <row r="223" customFormat="false" ht="15" hidden="false" customHeight="false" outlineLevel="0" collapsed="false">
      <c r="A223" s="2" t="n">
        <v>222</v>
      </c>
      <c r="B223" s="2" t="s">
        <v>330</v>
      </c>
      <c r="C223" s="2" t="s">
        <v>33</v>
      </c>
      <c r="D223" s="2" t="s">
        <v>33</v>
      </c>
      <c r="E223" s="2" t="s">
        <v>17</v>
      </c>
      <c r="F223" s="2" t="s">
        <v>18</v>
      </c>
      <c r="G223" s="9" t="n">
        <v>99775</v>
      </c>
      <c r="H223" s="9" t="n">
        <v>80732</v>
      </c>
      <c r="I223" s="9" t="n">
        <v>263119</v>
      </c>
      <c r="J223" s="10" t="n">
        <f aca="false">G223-H223</f>
        <v>19043</v>
      </c>
      <c r="K223" s="11" t="n">
        <f aca="false">J223/I223</f>
        <v>0.0723740968915206</v>
      </c>
      <c r="L223" s="11" t="n">
        <f aca="false">I223/N223</f>
        <v>0.702696278729416</v>
      </c>
      <c r="M223" s="4" t="n">
        <f aca="false">INDEX('Lok Sabha seats'!$E:$E,MATCH(D223,'Lok Sabha seats'!$A:$A,0))</f>
        <v>0.0356270302835812</v>
      </c>
      <c r="N223" s="9" t="n">
        <v>374442</v>
      </c>
      <c r="O223" s="15"/>
      <c r="P223" s="10" t="n">
        <f aca="false">IF(O223&lt;&gt;"",O223,ROUND(N223*M223/(1+M223),0))</f>
        <v>12881</v>
      </c>
      <c r="Q223" s="16" t="n">
        <f aca="false">P223/J223</f>
        <v>0.67641653100877</v>
      </c>
      <c r="R223" s="2" t="str">
        <f aca="false">IF(P223&gt;J223,"Yes","No")</f>
        <v>No</v>
      </c>
      <c r="S223" s="2" t="str">
        <f aca="false">IF(P223*L223&gt;J223,"Yes","No")</f>
        <v>No</v>
      </c>
      <c r="T223" s="2" t="s">
        <v>171</v>
      </c>
    </row>
    <row r="224" customFormat="false" ht="15" hidden="false" customHeight="false" outlineLevel="0" collapsed="false">
      <c r="A224" s="2" t="n">
        <v>223</v>
      </c>
      <c r="B224" s="2" t="s">
        <v>331</v>
      </c>
      <c r="C224" s="2" t="s">
        <v>33</v>
      </c>
      <c r="D224" s="2" t="s">
        <v>33</v>
      </c>
      <c r="E224" s="2" t="s">
        <v>17</v>
      </c>
      <c r="F224" s="2" t="s">
        <v>18</v>
      </c>
      <c r="G224" s="9" t="n">
        <v>135859</v>
      </c>
      <c r="H224" s="9" t="n">
        <v>101372</v>
      </c>
      <c r="I224" s="9" t="n">
        <v>243771</v>
      </c>
      <c r="J224" s="10" t="n">
        <f aca="false">G224-H224</f>
        <v>34487</v>
      </c>
      <c r="K224" s="11" t="n">
        <f aca="false">J224/I224</f>
        <v>0.141472939767241</v>
      </c>
      <c r="L224" s="11" t="n">
        <f aca="false">I224/N224</f>
        <v>0.752242647172274</v>
      </c>
      <c r="M224" s="4" t="n">
        <f aca="false">INDEX('Lok Sabha seats'!$E:$E,MATCH(D224,'Lok Sabha seats'!$A:$A,0))</f>
        <v>0.0356270302835812</v>
      </c>
      <c r="N224" s="9" t="n">
        <v>324059</v>
      </c>
      <c r="O224" s="15"/>
      <c r="P224" s="10" t="n">
        <f aca="false">IF(O224&lt;&gt;"",O224,ROUND(N224*M224/(1+M224),0))</f>
        <v>11148</v>
      </c>
      <c r="Q224" s="16" t="n">
        <f aca="false">P224/J224</f>
        <v>0.323252239974483</v>
      </c>
      <c r="R224" s="2" t="str">
        <f aca="false">IF(P224&gt;J224,"Yes","No")</f>
        <v>No</v>
      </c>
      <c r="S224" s="2" t="str">
        <f aca="false">IF(P224*L224&gt;J224,"Yes","No")</f>
        <v>No</v>
      </c>
      <c r="T224" s="2" t="s">
        <v>294</v>
      </c>
    </row>
    <row r="225" customFormat="false" ht="15" hidden="false" customHeight="false" outlineLevel="0" collapsed="false">
      <c r="A225" s="2" t="n">
        <v>224</v>
      </c>
      <c r="B225" s="2" t="s">
        <v>37</v>
      </c>
      <c r="C225" s="2" t="s">
        <v>33</v>
      </c>
      <c r="D225" s="2" t="s">
        <v>33</v>
      </c>
      <c r="E225" s="2" t="s">
        <v>25</v>
      </c>
      <c r="F225" s="2" t="s">
        <v>18</v>
      </c>
      <c r="G225" s="9" t="n">
        <v>113630</v>
      </c>
      <c r="H225" s="9" t="n">
        <v>112104</v>
      </c>
      <c r="I225" s="9" t="n">
        <v>248938</v>
      </c>
      <c r="J225" s="10" t="n">
        <f aca="false">G225-H225</f>
        <v>1526</v>
      </c>
      <c r="K225" s="11" t="n">
        <f aca="false">J225/I225</f>
        <v>0.00613004041166877</v>
      </c>
      <c r="L225" s="11" t="n">
        <f aca="false">I225/N225</f>
        <v>0.710540887683745</v>
      </c>
      <c r="M225" s="4" t="n">
        <f aca="false">INDEX('Lok Sabha seats'!$E:$E,MATCH(D225,'Lok Sabha seats'!$A:$A,0))</f>
        <v>0.0356270302835812</v>
      </c>
      <c r="N225" s="9" t="n">
        <v>350350</v>
      </c>
      <c r="O225" s="15"/>
      <c r="P225" s="10" t="n">
        <f aca="false">IF(O225&lt;&gt;"",O225,ROUND(N225*M225/(1+M225),0))</f>
        <v>12053</v>
      </c>
      <c r="Q225" s="16" t="n">
        <f aca="false">P225/J225</f>
        <v>7.89842726081258</v>
      </c>
      <c r="R225" s="2" t="str">
        <f aca="false">IF(P225&gt;J225,"Yes","No")</f>
        <v>Yes</v>
      </c>
      <c r="S225" s="2" t="str">
        <f aca="false">IF(P225*L225&gt;J225,"Yes","No")</f>
        <v>Yes</v>
      </c>
      <c r="T225" s="2" t="s">
        <v>171</v>
      </c>
    </row>
    <row r="226" customFormat="false" ht="15" hidden="false" customHeight="false" outlineLevel="0" collapsed="false">
      <c r="A226" s="2" t="n">
        <v>225</v>
      </c>
      <c r="B226" s="2" t="s">
        <v>332</v>
      </c>
      <c r="C226" s="2" t="s">
        <v>33</v>
      </c>
      <c r="D226" s="2" t="s">
        <v>33</v>
      </c>
      <c r="E226" s="2" t="s">
        <v>25</v>
      </c>
      <c r="F226" s="2" t="s">
        <v>18</v>
      </c>
      <c r="G226" s="9" t="n">
        <v>118636</v>
      </c>
      <c r="H226" s="9" t="n">
        <v>79018</v>
      </c>
      <c r="I226" s="9" t="n">
        <v>204106</v>
      </c>
      <c r="J226" s="10" t="n">
        <f aca="false">G226-H226</f>
        <v>39618</v>
      </c>
      <c r="K226" s="11" t="n">
        <f aca="false">J226/I226</f>
        <v>0.194105023860151</v>
      </c>
      <c r="L226" s="11" t="n">
        <f aca="false">I226/N226</f>
        <v>0.644286192288995</v>
      </c>
      <c r="M226" s="4" t="n">
        <f aca="false">INDEX('Lok Sabha seats'!$E:$E,MATCH(D226,'Lok Sabha seats'!$A:$A,0))</f>
        <v>0.0356270302835812</v>
      </c>
      <c r="N226" s="9" t="n">
        <v>316794</v>
      </c>
      <c r="O226" s="15"/>
      <c r="P226" s="10" t="n">
        <f aca="false">IF(O226&lt;&gt;"",O226,ROUND(N226*M226/(1+M226),0))</f>
        <v>10898</v>
      </c>
      <c r="Q226" s="16" t="n">
        <f aca="false">P226/J226</f>
        <v>0.275076985208744</v>
      </c>
      <c r="R226" s="2" t="str">
        <f aca="false">IF(P226&gt;J226,"Yes","No")</f>
        <v>No</v>
      </c>
      <c r="S226" s="2" t="str">
        <f aca="false">IF(P226*L226&gt;J226,"Yes","No")</f>
        <v>No</v>
      </c>
      <c r="T226" s="2" t="s">
        <v>294</v>
      </c>
    </row>
    <row r="227" customFormat="false" ht="15" hidden="false" customHeight="false" outlineLevel="0" collapsed="false">
      <c r="A227" s="2" t="n">
        <v>226</v>
      </c>
      <c r="B227" s="2" t="s">
        <v>333</v>
      </c>
      <c r="C227" s="2" t="s">
        <v>33</v>
      </c>
      <c r="D227" s="2" t="s">
        <v>33</v>
      </c>
      <c r="E227" s="2" t="s">
        <v>17</v>
      </c>
      <c r="F227" s="2" t="s">
        <v>18</v>
      </c>
      <c r="G227" s="9" t="n">
        <v>99820</v>
      </c>
      <c r="H227" s="9" t="n">
        <v>62664</v>
      </c>
      <c r="I227" s="9" t="n">
        <v>253290</v>
      </c>
      <c r="J227" s="10" t="n">
        <f aca="false">G227-H227</f>
        <v>37156</v>
      </c>
      <c r="K227" s="11" t="n">
        <f aca="false">J227/I227</f>
        <v>0.146693513364128</v>
      </c>
      <c r="L227" s="11" t="n">
        <f aca="false">I227/N227</f>
        <v>0.746010614798278</v>
      </c>
      <c r="M227" s="4" t="n">
        <f aca="false">INDEX('Lok Sabha seats'!$E:$E,MATCH(D227,'Lok Sabha seats'!$A:$A,0))</f>
        <v>0.0356270302835812</v>
      </c>
      <c r="N227" s="9" t="n">
        <v>339526</v>
      </c>
      <c r="O227" s="15"/>
      <c r="P227" s="10" t="n">
        <f aca="false">IF(O227&lt;&gt;"",O227,ROUND(N227*M227/(1+M227),0))</f>
        <v>11680</v>
      </c>
      <c r="Q227" s="16" t="n">
        <f aca="false">P227/J227</f>
        <v>0.314350306814512</v>
      </c>
      <c r="R227" s="2" t="str">
        <f aca="false">IF(P227&gt;J227,"Yes","No")</f>
        <v>No</v>
      </c>
      <c r="S227" s="2" t="str">
        <f aca="false">IF(P227*L227&gt;J227,"Yes","No")</f>
        <v>No</v>
      </c>
      <c r="T227" s="2" t="s">
        <v>294</v>
      </c>
    </row>
    <row r="228" customFormat="false" ht="15" hidden="false" customHeight="false" outlineLevel="0" collapsed="false">
      <c r="A228" s="2" t="n">
        <v>227</v>
      </c>
      <c r="B228" s="2" t="s">
        <v>32</v>
      </c>
      <c r="C228" s="2" t="s">
        <v>33</v>
      </c>
      <c r="D228" s="2" t="s">
        <v>33</v>
      </c>
      <c r="E228" s="2" t="s">
        <v>34</v>
      </c>
      <c r="F228" s="2" t="s">
        <v>22</v>
      </c>
      <c r="G228" s="9" t="n">
        <v>127676</v>
      </c>
      <c r="H228" s="9" t="n">
        <v>126433</v>
      </c>
      <c r="I228" s="9" t="n">
        <v>263050</v>
      </c>
      <c r="J228" s="10" t="n">
        <f aca="false">G228-H228</f>
        <v>1243</v>
      </c>
      <c r="K228" s="11" t="n">
        <f aca="false">J228/I228</f>
        <v>0.00472533738832922</v>
      </c>
      <c r="L228" s="11" t="n">
        <f aca="false">I228/N228</f>
        <v>0.757407796650187</v>
      </c>
      <c r="M228" s="4" t="n">
        <f aca="false">INDEX('Lok Sabha seats'!$E:$E,MATCH(D228,'Lok Sabha seats'!$A:$A,0))</f>
        <v>0.0356270302835812</v>
      </c>
      <c r="N228" s="9" t="n">
        <v>347303</v>
      </c>
      <c r="O228" s="15"/>
      <c r="P228" s="10" t="n">
        <f aca="false">IF(O228&lt;&gt;"",O228,ROUND(N228*M228/(1+M228),0))</f>
        <v>11948</v>
      </c>
      <c r="Q228" s="16" t="n">
        <f aca="false">P228/J228</f>
        <v>9.61222847948512</v>
      </c>
      <c r="R228" s="2" t="str">
        <f aca="false">IF(P228&gt;J228,"Yes","No")</f>
        <v>Yes</v>
      </c>
      <c r="S228" s="2" t="str">
        <f aca="false">IF(P228*L228&gt;J228,"Yes","No")</f>
        <v>Yes</v>
      </c>
      <c r="T228" s="2" t="s">
        <v>294</v>
      </c>
    </row>
    <row r="229" customFormat="false" ht="15" hidden="false" customHeight="false" outlineLevel="0" collapsed="false">
      <c r="A229" s="2" t="n">
        <v>228</v>
      </c>
      <c r="B229" s="2" t="s">
        <v>334</v>
      </c>
      <c r="C229" s="2" t="s">
        <v>56</v>
      </c>
      <c r="D229" s="2" t="s">
        <v>56</v>
      </c>
      <c r="E229" s="2" t="s">
        <v>25</v>
      </c>
      <c r="F229" s="2" t="s">
        <v>18</v>
      </c>
      <c r="G229" s="9" t="n">
        <v>116141</v>
      </c>
      <c r="H229" s="9" t="n">
        <v>73751</v>
      </c>
      <c r="I229" s="9" t="n">
        <v>278281</v>
      </c>
      <c r="J229" s="10" t="n">
        <f aca="false">G229-H229</f>
        <v>42390</v>
      </c>
      <c r="K229" s="11" t="n">
        <f aca="false">J229/I229</f>
        <v>0.152328042518174</v>
      </c>
      <c r="L229" s="11" t="n">
        <f aca="false">I229/N229</f>
        <v>0.732493834049733</v>
      </c>
      <c r="M229" s="4" t="n">
        <f aca="false">INDEX('Lok Sabha seats'!$E:$E,MATCH(D229,'Lok Sabha seats'!$A:$A,0))</f>
        <v>0.0398110286495466</v>
      </c>
      <c r="N229" s="9" t="n">
        <v>379909</v>
      </c>
      <c r="O229" s="15"/>
      <c r="P229" s="10" t="n">
        <f aca="false">IF(O229&lt;&gt;"",O229,ROUND(N229*M229/(1+M229),0))</f>
        <v>14545</v>
      </c>
      <c r="Q229" s="16" t="n">
        <f aca="false">P229/J229</f>
        <v>0.343123378155225</v>
      </c>
      <c r="R229" s="2" t="str">
        <f aca="false">IF(P229&gt;J229,"Yes","No")</f>
        <v>No</v>
      </c>
      <c r="S229" s="2" t="str">
        <f aca="false">IF(P229*L229&gt;J229,"Yes","No")</f>
        <v>No</v>
      </c>
      <c r="T229" s="2" t="s">
        <v>171</v>
      </c>
    </row>
    <row r="230" customFormat="false" ht="15" hidden="false" customHeight="false" outlineLevel="0" collapsed="false">
      <c r="A230" s="2" t="n">
        <v>229</v>
      </c>
      <c r="B230" s="2" t="s">
        <v>86</v>
      </c>
      <c r="C230" s="2" t="s">
        <v>56</v>
      </c>
      <c r="D230" s="2" t="s">
        <v>56</v>
      </c>
      <c r="E230" s="2" t="s">
        <v>25</v>
      </c>
      <c r="F230" s="2" t="s">
        <v>18</v>
      </c>
      <c r="G230" s="9" t="n">
        <v>66009</v>
      </c>
      <c r="H230" s="9" t="n">
        <v>60110</v>
      </c>
      <c r="I230" s="9" t="n">
        <v>238987</v>
      </c>
      <c r="J230" s="10" t="n">
        <f aca="false">G230-H230</f>
        <v>5899</v>
      </c>
      <c r="K230" s="11" t="n">
        <f aca="false">J230/I230</f>
        <v>0.0246833509772498</v>
      </c>
      <c r="L230" s="11" t="n">
        <f aca="false">I230/N230</f>
        <v>0.678402629733819</v>
      </c>
      <c r="M230" s="4" t="n">
        <f aca="false">INDEX('Lok Sabha seats'!$E:$E,MATCH(D230,'Lok Sabha seats'!$A:$A,0))</f>
        <v>0.0398110286495466</v>
      </c>
      <c r="N230" s="9" t="n">
        <v>352279</v>
      </c>
      <c r="O230" s="15"/>
      <c r="P230" s="10" t="n">
        <f aca="false">IF(O230&lt;&gt;"",O230,ROUND(N230*M230/(1+M230),0))</f>
        <v>13488</v>
      </c>
      <c r="Q230" s="16" t="n">
        <f aca="false">P230/J230</f>
        <v>2.28648923546364</v>
      </c>
      <c r="R230" s="2" t="str">
        <f aca="false">IF(P230&gt;J230,"Yes","No")</f>
        <v>Yes</v>
      </c>
      <c r="S230" s="2" t="str">
        <f aca="false">IF(P230*L230&gt;J230,"Yes","No")</f>
        <v>Yes</v>
      </c>
      <c r="T230" s="2" t="s">
        <v>171</v>
      </c>
    </row>
    <row r="231" customFormat="false" ht="15" hidden="false" customHeight="false" outlineLevel="0" collapsed="false">
      <c r="A231" s="2" t="n">
        <v>230</v>
      </c>
      <c r="B231" s="2" t="s">
        <v>56</v>
      </c>
      <c r="C231" s="2" t="s">
        <v>56</v>
      </c>
      <c r="D231" s="2" t="s">
        <v>56</v>
      </c>
      <c r="E231" s="2" t="s">
        <v>34</v>
      </c>
      <c r="F231" s="2" t="s">
        <v>22</v>
      </c>
      <c r="G231" s="9" t="n">
        <v>101874</v>
      </c>
      <c r="H231" s="9" t="n">
        <v>96550</v>
      </c>
      <c r="I231" s="9" t="n">
        <v>242725</v>
      </c>
      <c r="J231" s="10" t="n">
        <f aca="false">G231-H231</f>
        <v>5324</v>
      </c>
      <c r="K231" s="11" t="n">
        <f aca="false">J231/I231</f>
        <v>0.0219342877742301</v>
      </c>
      <c r="L231" s="11" t="n">
        <f aca="false">I231/N231</f>
        <v>0.631930143373748</v>
      </c>
      <c r="M231" s="4" t="n">
        <f aca="false">INDEX('Lok Sabha seats'!$E:$E,MATCH(D231,'Lok Sabha seats'!$A:$A,0))</f>
        <v>0.0398110286495466</v>
      </c>
      <c r="N231" s="9" t="n">
        <v>384101</v>
      </c>
      <c r="O231" s="15"/>
      <c r="P231" s="10" t="n">
        <f aca="false">IF(O231&lt;&gt;"",O231,ROUND(N231*M231/(1+M231),0))</f>
        <v>14706</v>
      </c>
      <c r="Q231" s="16" t="n">
        <f aca="false">P231/J231</f>
        <v>2.76220886551465</v>
      </c>
      <c r="R231" s="2" t="str">
        <f aca="false">IF(P231&gt;J231,"Yes","No")</f>
        <v>Yes</v>
      </c>
      <c r="S231" s="2" t="str">
        <f aca="false">IF(P231*L231&gt;J231,"Yes","No")</f>
        <v>Yes</v>
      </c>
      <c r="T231" s="2" t="s">
        <v>171</v>
      </c>
    </row>
    <row r="232" customFormat="false" ht="15" hidden="false" customHeight="false" outlineLevel="0" collapsed="false">
      <c r="A232" s="2" t="n">
        <v>231</v>
      </c>
      <c r="B232" s="2" t="s">
        <v>335</v>
      </c>
      <c r="C232" s="2" t="s">
        <v>56</v>
      </c>
      <c r="D232" s="2" t="s">
        <v>56</v>
      </c>
      <c r="E232" s="2" t="s">
        <v>17</v>
      </c>
      <c r="F232" s="2" t="s">
        <v>18</v>
      </c>
      <c r="G232" s="9" t="n">
        <v>140507</v>
      </c>
      <c r="H232" s="9" t="n">
        <v>62532</v>
      </c>
      <c r="I232" s="9" t="n">
        <v>286784</v>
      </c>
      <c r="J232" s="10" t="n">
        <f aca="false">G232-H232</f>
        <v>77975</v>
      </c>
      <c r="K232" s="11" t="n">
        <f aca="false">J232/I232</f>
        <v>0.271894526891319</v>
      </c>
      <c r="L232" s="11" t="n">
        <f aca="false">I232/N232</f>
        <v>0.742275299074951</v>
      </c>
      <c r="M232" s="4" t="n">
        <f aca="false">INDEX('Lok Sabha seats'!$E:$E,MATCH(D232,'Lok Sabha seats'!$A:$A,0))</f>
        <v>0.0398110286495466</v>
      </c>
      <c r="N232" s="9" t="n">
        <v>386358</v>
      </c>
      <c r="O232" s="15"/>
      <c r="P232" s="10" t="n">
        <f aca="false">IF(O232&lt;&gt;"",O232,ROUND(N232*M232/(1+M232),0))</f>
        <v>14792</v>
      </c>
      <c r="Q232" s="16" t="n">
        <f aca="false">P232/J232</f>
        <v>0.189701827508817</v>
      </c>
      <c r="R232" s="2" t="str">
        <f aca="false">IF(P232&gt;J232,"Yes","No")</f>
        <v>No</v>
      </c>
      <c r="S232" s="2" t="str">
        <f aca="false">IF(P232*L232&gt;J232,"Yes","No")</f>
        <v>No</v>
      </c>
      <c r="T232" s="2" t="s">
        <v>294</v>
      </c>
    </row>
    <row r="233" customFormat="false" ht="15" hidden="false" customHeight="false" outlineLevel="0" collapsed="false">
      <c r="A233" s="2" t="n">
        <v>232</v>
      </c>
      <c r="B233" s="2" t="s">
        <v>55</v>
      </c>
      <c r="C233" s="2" t="s">
        <v>56</v>
      </c>
      <c r="D233" s="2" t="s">
        <v>56</v>
      </c>
      <c r="E233" s="2" t="s">
        <v>17</v>
      </c>
      <c r="F233" s="2" t="s">
        <v>18</v>
      </c>
      <c r="G233" s="9" t="n">
        <v>117081</v>
      </c>
      <c r="H233" s="9" t="n">
        <v>114394</v>
      </c>
      <c r="I233" s="9" t="n">
        <v>248677</v>
      </c>
      <c r="J233" s="10" t="n">
        <f aca="false">G233-H233</f>
        <v>2687</v>
      </c>
      <c r="K233" s="11" t="n">
        <f aca="false">J233/I233</f>
        <v>0.010805181017947</v>
      </c>
      <c r="L233" s="11" t="n">
        <f aca="false">I233/N233</f>
        <v>0.642209487605269</v>
      </c>
      <c r="M233" s="4" t="n">
        <f aca="false">INDEX('Lok Sabha seats'!$E:$E,MATCH(D233,'Lok Sabha seats'!$A:$A,0))</f>
        <v>0.0398110286495466</v>
      </c>
      <c r="N233" s="9" t="n">
        <v>387221</v>
      </c>
      <c r="O233" s="15"/>
      <c r="P233" s="10" t="n">
        <f aca="false">IF(O233&lt;&gt;"",O233,ROUND(N233*M233/(1+M233),0))</f>
        <v>14825</v>
      </c>
      <c r="Q233" s="16" t="n">
        <f aca="false">P233/J233</f>
        <v>5.51730554521772</v>
      </c>
      <c r="R233" s="2" t="str">
        <f aca="false">IF(P233&gt;J233,"Yes","No")</f>
        <v>Yes</v>
      </c>
      <c r="S233" s="2" t="str">
        <f aca="false">IF(P233*L233&gt;J233,"Yes","No")</f>
        <v>Yes</v>
      </c>
      <c r="T233" s="2" t="s">
        <v>171</v>
      </c>
    </row>
    <row r="234" customFormat="false" ht="15" hidden="false" customHeight="false" outlineLevel="0" collapsed="false">
      <c r="A234" s="2" t="n">
        <v>233</v>
      </c>
      <c r="B234" s="2" t="s">
        <v>336</v>
      </c>
      <c r="C234" s="2" t="s">
        <v>56</v>
      </c>
      <c r="D234" s="2" t="s">
        <v>56</v>
      </c>
      <c r="E234" s="2" t="s">
        <v>25</v>
      </c>
      <c r="F234" s="2" t="s">
        <v>18</v>
      </c>
      <c r="G234" s="9" t="n">
        <v>194889</v>
      </c>
      <c r="H234" s="9" t="n">
        <v>54665</v>
      </c>
      <c r="I234" s="9" t="n">
        <v>256550</v>
      </c>
      <c r="J234" s="10" t="n">
        <f aca="false">G234-H234</f>
        <v>140224</v>
      </c>
      <c r="K234" s="11" t="n">
        <f aca="false">J234/I234</f>
        <v>0.546575716234652</v>
      </c>
      <c r="L234" s="11" t="n">
        <f aca="false">I234/N234</f>
        <v>0.759077567637939</v>
      </c>
      <c r="M234" s="4" t="n">
        <f aca="false">INDEX('Lok Sabha seats'!$E:$E,MATCH(D234,'Lok Sabha seats'!$A:$A,0))</f>
        <v>0.0398110286495466</v>
      </c>
      <c r="N234" s="9" t="n">
        <v>337976</v>
      </c>
      <c r="O234" s="15"/>
      <c r="P234" s="10" t="n">
        <f aca="false">IF(O234&lt;&gt;"",O234,ROUND(N234*M234/(1+M234),0))</f>
        <v>12940</v>
      </c>
      <c r="Q234" s="16" t="n">
        <f aca="false">P234/J234</f>
        <v>0.0922809219534459</v>
      </c>
      <c r="R234" s="2" t="str">
        <f aca="false">IF(P234&gt;J234,"Yes","No")</f>
        <v>No</v>
      </c>
      <c r="S234" s="2" t="str">
        <f aca="false">IF(P234*L234&gt;J234,"Yes","No")</f>
        <v>No</v>
      </c>
      <c r="T234" s="2" t="s">
        <v>171</v>
      </c>
    </row>
    <row r="235" customFormat="false" ht="15" hidden="false" customHeight="false" outlineLevel="0" collapsed="false">
      <c r="A235" s="2" t="n">
        <v>234</v>
      </c>
      <c r="B235" s="2" t="s">
        <v>110</v>
      </c>
      <c r="C235" s="2" t="s">
        <v>106</v>
      </c>
      <c r="D235" s="2" t="s">
        <v>106</v>
      </c>
      <c r="E235" s="2" t="s">
        <v>17</v>
      </c>
      <c r="F235" s="2" t="s">
        <v>18</v>
      </c>
      <c r="G235" s="9" t="n">
        <v>112051</v>
      </c>
      <c r="H235" s="9" t="n">
        <v>105456</v>
      </c>
      <c r="I235" s="9" t="n">
        <v>235450</v>
      </c>
      <c r="J235" s="10" t="n">
        <f aca="false">G235-H235</f>
        <v>6595</v>
      </c>
      <c r="K235" s="11" t="n">
        <f aca="false">J235/I235</f>
        <v>0.0280101932469739</v>
      </c>
      <c r="L235" s="11" t="n">
        <f aca="false">I235/N235</f>
        <v>0.703665516056245</v>
      </c>
      <c r="M235" s="4" t="n">
        <f aca="false">INDEX('Lok Sabha seats'!$E:$E,MATCH(D235,'Lok Sabha seats'!$A:$A,0))</f>
        <v>0.0318900660683992</v>
      </c>
      <c r="N235" s="9" t="n">
        <v>334605</v>
      </c>
      <c r="O235" s="15"/>
      <c r="P235" s="10" t="n">
        <f aca="false">IF(O235&lt;&gt;"",O235,ROUND(N235*M235/(1+M235),0))</f>
        <v>10341</v>
      </c>
      <c r="Q235" s="16" t="n">
        <f aca="false">P235/J235</f>
        <v>1.56800606520091</v>
      </c>
      <c r="R235" s="2" t="str">
        <f aca="false">IF(P235&gt;J235,"Yes","No")</f>
        <v>Yes</v>
      </c>
      <c r="S235" s="2" t="str">
        <f aca="false">IF(P235*L235&gt;J235,"Yes","No")</f>
        <v>Yes</v>
      </c>
      <c r="T235" s="2" t="s">
        <v>171</v>
      </c>
    </row>
    <row r="236" customFormat="false" ht="15" hidden="false" customHeight="false" outlineLevel="0" collapsed="false">
      <c r="A236" s="2" t="n">
        <v>235</v>
      </c>
      <c r="B236" s="2" t="s">
        <v>105</v>
      </c>
      <c r="C236" s="2" t="s">
        <v>106</v>
      </c>
      <c r="D236" s="2" t="s">
        <v>106</v>
      </c>
      <c r="E236" s="2" t="s">
        <v>21</v>
      </c>
      <c r="F236" s="2" t="s">
        <v>22</v>
      </c>
      <c r="G236" s="9" t="n">
        <v>114110</v>
      </c>
      <c r="H236" s="9" t="n">
        <v>106712</v>
      </c>
      <c r="I236" s="9" t="n">
        <v>253135</v>
      </c>
      <c r="J236" s="10" t="n">
        <f aca="false">G236-H236</f>
        <v>7398</v>
      </c>
      <c r="K236" s="11" t="n">
        <f aca="false">J236/I236</f>
        <v>0.0292255120785352</v>
      </c>
      <c r="L236" s="11" t="n">
        <f aca="false">I236/N236</f>
        <v>0.632783713384362</v>
      </c>
      <c r="M236" s="4" t="n">
        <f aca="false">INDEX('Lok Sabha seats'!$E:$E,MATCH(D236,'Lok Sabha seats'!$A:$A,0))</f>
        <v>0.0318900660683992</v>
      </c>
      <c r="N236" s="9" t="n">
        <v>400034</v>
      </c>
      <c r="O236" s="15"/>
      <c r="P236" s="10" t="n">
        <f aca="false">IF(O236&lt;&gt;"",O236,ROUND(N236*M236/(1+M236),0))</f>
        <v>12363</v>
      </c>
      <c r="Q236" s="16" t="n">
        <f aca="false">P236/J236</f>
        <v>1.67112733171127</v>
      </c>
      <c r="R236" s="2" t="str">
        <f aca="false">IF(P236&gt;J236,"Yes","No")</f>
        <v>Yes</v>
      </c>
      <c r="S236" s="2" t="str">
        <f aca="false">IF(P236*L236&gt;J236,"Yes","No")</f>
        <v>Yes</v>
      </c>
      <c r="T236" s="2" t="s">
        <v>171</v>
      </c>
    </row>
    <row r="237" customFormat="false" ht="15" hidden="false" customHeight="false" outlineLevel="0" collapsed="false">
      <c r="A237" s="2" t="n">
        <v>236</v>
      </c>
      <c r="B237" s="2" t="s">
        <v>337</v>
      </c>
      <c r="C237" s="2" t="s">
        <v>106</v>
      </c>
      <c r="D237" s="2" t="s">
        <v>106</v>
      </c>
      <c r="E237" s="2" t="s">
        <v>25</v>
      </c>
      <c r="F237" s="2" t="s">
        <v>18</v>
      </c>
      <c r="G237" s="9" t="n">
        <v>96905</v>
      </c>
      <c r="H237" s="9" t="n">
        <v>65236</v>
      </c>
      <c r="I237" s="9" t="n">
        <v>241740</v>
      </c>
      <c r="J237" s="10" t="n">
        <f aca="false">G237-H237</f>
        <v>31669</v>
      </c>
      <c r="K237" s="11" t="n">
        <f aca="false">J237/I237</f>
        <v>0.131004384876313</v>
      </c>
      <c r="L237" s="11" t="n">
        <f aca="false">I237/N237</f>
        <v>0.69317520351663</v>
      </c>
      <c r="M237" s="4" t="n">
        <f aca="false">INDEX('Lok Sabha seats'!$E:$E,MATCH(D237,'Lok Sabha seats'!$A:$A,0))</f>
        <v>0.0318900660683992</v>
      </c>
      <c r="N237" s="9" t="n">
        <v>348743</v>
      </c>
      <c r="O237" s="15"/>
      <c r="P237" s="10" t="n">
        <f aca="false">IF(O237&lt;&gt;"",O237,ROUND(N237*M237/(1+M237),0))</f>
        <v>10778</v>
      </c>
      <c r="Q237" s="16" t="n">
        <f aca="false">P237/J237</f>
        <v>0.340332817581862</v>
      </c>
      <c r="R237" s="2" t="str">
        <f aca="false">IF(P237&gt;J237,"Yes","No")</f>
        <v>No</v>
      </c>
      <c r="S237" s="2" t="str">
        <f aca="false">IF(P237*L237&gt;J237,"Yes","No")</f>
        <v>No</v>
      </c>
      <c r="T237" s="2" t="s">
        <v>171</v>
      </c>
    </row>
    <row r="238" customFormat="false" ht="15" hidden="false" customHeight="false" outlineLevel="0" collapsed="false">
      <c r="A238" s="2" t="n">
        <v>237</v>
      </c>
      <c r="B238" s="2" t="s">
        <v>338</v>
      </c>
      <c r="C238" s="2" t="s">
        <v>106</v>
      </c>
      <c r="D238" s="2" t="s">
        <v>106</v>
      </c>
      <c r="E238" s="2" t="s">
        <v>25</v>
      </c>
      <c r="F238" s="2" t="s">
        <v>18</v>
      </c>
      <c r="G238" s="9" t="n">
        <v>152038</v>
      </c>
      <c r="H238" s="9" t="n">
        <v>58824</v>
      </c>
      <c r="I238" s="9" t="n">
        <v>220435</v>
      </c>
      <c r="J238" s="10" t="n">
        <f aca="false">G238-H238</f>
        <v>93214</v>
      </c>
      <c r="K238" s="11" t="n">
        <f aca="false">J238/I238</f>
        <v>0.422863882777236</v>
      </c>
      <c r="L238" s="11" t="n">
        <f aca="false">I238/N238</f>
        <v>0.681910283022078</v>
      </c>
      <c r="M238" s="4" t="n">
        <f aca="false">INDEX('Lok Sabha seats'!$E:$E,MATCH(D238,'Lok Sabha seats'!$A:$A,0))</f>
        <v>0.0318900660683992</v>
      </c>
      <c r="N238" s="9" t="n">
        <v>323261</v>
      </c>
      <c r="O238" s="15"/>
      <c r="P238" s="10" t="n">
        <f aca="false">IF(O238&lt;&gt;"",O238,ROUND(N238*M238/(1+M238),0))</f>
        <v>9990</v>
      </c>
      <c r="Q238" s="16" t="n">
        <f aca="false">P238/J238</f>
        <v>0.10717274229193</v>
      </c>
      <c r="R238" s="2" t="str">
        <f aca="false">IF(P238&gt;J238,"Yes","No")</f>
        <v>No</v>
      </c>
      <c r="S238" s="2" t="str">
        <f aca="false">IF(P238*L238&gt;J238,"Yes","No")</f>
        <v>No</v>
      </c>
      <c r="T238" s="2" t="s">
        <v>171</v>
      </c>
    </row>
    <row r="239" customFormat="false" ht="15" hidden="false" customHeight="false" outlineLevel="0" collapsed="false">
      <c r="A239" s="2" t="n">
        <v>238</v>
      </c>
      <c r="B239" s="2" t="s">
        <v>339</v>
      </c>
      <c r="C239" s="2" t="s">
        <v>106</v>
      </c>
      <c r="D239" s="2" t="s">
        <v>106</v>
      </c>
      <c r="E239" s="2" t="s">
        <v>17</v>
      </c>
      <c r="F239" s="2" t="s">
        <v>18</v>
      </c>
      <c r="G239" s="9" t="n">
        <v>112368</v>
      </c>
      <c r="H239" s="9" t="n">
        <v>98628</v>
      </c>
      <c r="I239" s="9" t="n">
        <v>220998</v>
      </c>
      <c r="J239" s="10" t="n">
        <f aca="false">G239-H239</f>
        <v>13740</v>
      </c>
      <c r="K239" s="11" t="n">
        <f aca="false">J239/I239</f>
        <v>0.0621725083484918</v>
      </c>
      <c r="L239" s="11" t="n">
        <f aca="false">I239/N239</f>
        <v>0.666063888461921</v>
      </c>
      <c r="M239" s="4" t="n">
        <f aca="false">INDEX('Lok Sabha seats'!$E:$E,MATCH(D239,'Lok Sabha seats'!$A:$A,0))</f>
        <v>0.0318900660683992</v>
      </c>
      <c r="N239" s="9" t="n">
        <v>331797</v>
      </c>
      <c r="O239" s="15"/>
      <c r="P239" s="10" t="n">
        <f aca="false">IF(O239&lt;&gt;"",O239,ROUND(N239*M239/(1+M239),0))</f>
        <v>10254</v>
      </c>
      <c r="Q239" s="16" t="n">
        <f aca="false">P239/J239</f>
        <v>0.746288209606987</v>
      </c>
      <c r="R239" s="2" t="str">
        <f aca="false">IF(P239&gt;J239,"Yes","No")</f>
        <v>No</v>
      </c>
      <c r="S239" s="2" t="str">
        <f aca="false">IF(P239*L239&gt;J239,"Yes","No")</f>
        <v>No</v>
      </c>
      <c r="T239" s="2" t="s">
        <v>171</v>
      </c>
    </row>
    <row r="240" customFormat="false" ht="15" hidden="false" customHeight="false" outlineLevel="0" collapsed="false">
      <c r="A240" s="2" t="n">
        <v>239</v>
      </c>
      <c r="B240" s="2" t="s">
        <v>340</v>
      </c>
      <c r="C240" s="2" t="s">
        <v>106</v>
      </c>
      <c r="D240" s="2" t="s">
        <v>54</v>
      </c>
      <c r="E240" s="2" t="s">
        <v>17</v>
      </c>
      <c r="F240" s="2" t="s">
        <v>18</v>
      </c>
      <c r="G240" s="9" t="n">
        <v>115590</v>
      </c>
      <c r="H240" s="9" t="n">
        <v>82128</v>
      </c>
      <c r="I240" s="9" t="n">
        <v>211313</v>
      </c>
      <c r="J240" s="10" t="n">
        <f aca="false">G240-H240</f>
        <v>33462</v>
      </c>
      <c r="K240" s="11" t="n">
        <f aca="false">J240/I240</f>
        <v>0.158352775267021</v>
      </c>
      <c r="L240" s="11" t="n">
        <f aca="false">I240/N240</f>
        <v>0.694407292635398</v>
      </c>
      <c r="M240" s="4" t="n">
        <f aca="false">INDEX('Lok Sabha seats'!$E:$E,MATCH(D240,'Lok Sabha seats'!$A:$A,0))</f>
        <v>0.0266372331120464</v>
      </c>
      <c r="N240" s="9" t="n">
        <v>304307</v>
      </c>
      <c r="O240" s="15"/>
      <c r="P240" s="10" t="n">
        <f aca="false">IF(O240&lt;&gt;"",O240,ROUND(N240*M240/(1+M240),0))</f>
        <v>7896</v>
      </c>
      <c r="Q240" s="16" t="n">
        <f aca="false">P240/J240</f>
        <v>0.235969159046082</v>
      </c>
      <c r="R240" s="2" t="str">
        <f aca="false">IF(P240&gt;J240,"Yes","No")</f>
        <v>No</v>
      </c>
      <c r="S240" s="2" t="str">
        <f aca="false">IF(P240*L240&gt;J240,"Yes","No")</f>
        <v>No</v>
      </c>
      <c r="T240" s="2" t="s">
        <v>171</v>
      </c>
    </row>
    <row r="241" customFormat="false" ht="15" hidden="false" customHeight="false" outlineLevel="0" collapsed="false">
      <c r="A241" s="2" t="n">
        <v>240</v>
      </c>
      <c r="B241" s="2" t="s">
        <v>97</v>
      </c>
      <c r="C241" s="2" t="s">
        <v>341</v>
      </c>
      <c r="D241" s="2" t="s">
        <v>54</v>
      </c>
      <c r="E241" s="2" t="s">
        <v>44</v>
      </c>
      <c r="F241" s="2" t="s">
        <v>22</v>
      </c>
      <c r="G241" s="9" t="n">
        <v>96206</v>
      </c>
      <c r="H241" s="9" t="n">
        <v>92241</v>
      </c>
      <c r="I241" s="9" t="n">
        <v>197773</v>
      </c>
      <c r="J241" s="10" t="n">
        <f aca="false">G241-H241</f>
        <v>3965</v>
      </c>
      <c r="K241" s="11" t="n">
        <f aca="false">J241/I241</f>
        <v>0.0200482371203349</v>
      </c>
      <c r="L241" s="11" t="n">
        <f aca="false">I241/N241</f>
        <v>0.627066462900372</v>
      </c>
      <c r="M241" s="4" t="n">
        <f aca="false">INDEX('Lok Sabha seats'!$E:$E,MATCH(D241,'Lok Sabha seats'!$A:$A,0))</f>
        <v>0.0266372331120464</v>
      </c>
      <c r="N241" s="9" t="n">
        <v>315394</v>
      </c>
      <c r="O241" s="15"/>
      <c r="P241" s="10" t="n">
        <f aca="false">IF(O241&lt;&gt;"",O241,ROUND(N241*M241/(1+M241),0))</f>
        <v>8183</v>
      </c>
      <c r="Q241" s="16" t="n">
        <f aca="false">P241/J241</f>
        <v>2.06380832282472</v>
      </c>
      <c r="R241" s="2" t="str">
        <f aca="false">IF(P241&gt;J241,"Yes","No")</f>
        <v>Yes</v>
      </c>
      <c r="S241" s="2" t="str">
        <f aca="false">IF(P241*L241&gt;J241,"Yes","No")</f>
        <v>Yes</v>
      </c>
      <c r="T241" s="2" t="s">
        <v>171</v>
      </c>
    </row>
    <row r="242" customFormat="false" ht="15" hidden="false" customHeight="false" outlineLevel="0" collapsed="false">
      <c r="A242" s="2" t="n">
        <v>241</v>
      </c>
      <c r="B242" s="2" t="s">
        <v>342</v>
      </c>
      <c r="C242" s="2" t="s">
        <v>341</v>
      </c>
      <c r="D242" s="2" t="s">
        <v>54</v>
      </c>
      <c r="E242" s="2" t="s">
        <v>17</v>
      </c>
      <c r="F242" s="2" t="s">
        <v>18</v>
      </c>
      <c r="G242" s="9" t="n">
        <v>131863</v>
      </c>
      <c r="H242" s="9" t="n">
        <v>94984</v>
      </c>
      <c r="I242" s="9" t="n">
        <v>259489</v>
      </c>
      <c r="J242" s="10" t="n">
        <f aca="false">G242-H242</f>
        <v>36879</v>
      </c>
      <c r="K242" s="11" t="n">
        <f aca="false">J242/I242</f>
        <v>0.142121631360096</v>
      </c>
      <c r="L242" s="11" t="n">
        <f aca="false">I242/N242</f>
        <v>0.677380787674541</v>
      </c>
      <c r="M242" s="4" t="n">
        <f aca="false">INDEX('Lok Sabha seats'!$E:$E,MATCH(D242,'Lok Sabha seats'!$A:$A,0))</f>
        <v>0.0266372331120464</v>
      </c>
      <c r="N242" s="9" t="n">
        <v>383077</v>
      </c>
      <c r="O242" s="15"/>
      <c r="P242" s="10" t="n">
        <f aca="false">IF(O242&lt;&gt;"",O242,ROUND(N242*M242/(1+M242),0))</f>
        <v>9939</v>
      </c>
      <c r="Q242" s="16" t="n">
        <f aca="false">P242/J242</f>
        <v>0.269502969169446</v>
      </c>
      <c r="R242" s="2" t="str">
        <f aca="false">IF(P242&gt;J242,"Yes","No")</f>
        <v>No</v>
      </c>
      <c r="S242" s="2" t="str">
        <f aca="false">IF(P242*L242&gt;J242,"Yes","No")</f>
        <v>No</v>
      </c>
      <c r="T242" s="2" t="s">
        <v>171</v>
      </c>
    </row>
    <row r="243" customFormat="false" ht="15" hidden="false" customHeight="false" outlineLevel="0" collapsed="false">
      <c r="A243" s="2" t="n">
        <v>242</v>
      </c>
      <c r="B243" s="2" t="s">
        <v>54</v>
      </c>
      <c r="C243" s="2" t="s">
        <v>341</v>
      </c>
      <c r="D243" s="2" t="s">
        <v>54</v>
      </c>
      <c r="E243" s="2" t="s">
        <v>44</v>
      </c>
      <c r="F243" s="2" t="s">
        <v>22</v>
      </c>
      <c r="G243" s="9" t="n">
        <v>130573</v>
      </c>
      <c r="H243" s="9" t="n">
        <v>94007</v>
      </c>
      <c r="I243" s="9" t="n">
        <v>242995</v>
      </c>
      <c r="J243" s="10" t="n">
        <f aca="false">G243-H243</f>
        <v>36566</v>
      </c>
      <c r="K243" s="11" t="n">
        <f aca="false">J243/I243</f>
        <v>0.150480462560958</v>
      </c>
      <c r="L243" s="11" t="n">
        <f aca="false">I243/N243</f>
        <v>0.648387802587201</v>
      </c>
      <c r="M243" s="4" t="n">
        <f aca="false">INDEX('Lok Sabha seats'!$E:$E,MATCH(D243,'Lok Sabha seats'!$A:$A,0))</f>
        <v>0.0266372331120464</v>
      </c>
      <c r="N243" s="9" t="n">
        <v>374768</v>
      </c>
      <c r="O243" s="15"/>
      <c r="P243" s="10" t="n">
        <f aca="false">IF(O243&lt;&gt;"",O243,ROUND(N243*M243/(1+M243),0))</f>
        <v>9724</v>
      </c>
      <c r="Q243" s="16" t="n">
        <f aca="false">P243/J243</f>
        <v>0.26593009899907</v>
      </c>
      <c r="R243" s="2" t="str">
        <f aca="false">IF(P243&gt;J243,"Yes","No")</f>
        <v>No</v>
      </c>
      <c r="S243" s="2" t="str">
        <f aca="false">IF(P243*L243&gt;J243,"Yes","No")</f>
        <v>No</v>
      </c>
      <c r="T243" s="2" t="s">
        <v>171</v>
      </c>
    </row>
    <row r="244" customFormat="false" ht="15" hidden="false" customHeight="false" outlineLevel="0" collapsed="false">
      <c r="A244" s="2" t="n">
        <v>243</v>
      </c>
      <c r="B244" s="2" t="s">
        <v>53</v>
      </c>
      <c r="C244" s="2" t="s">
        <v>341</v>
      </c>
      <c r="D244" s="2" t="s">
        <v>54</v>
      </c>
      <c r="E244" s="2" t="s">
        <v>27</v>
      </c>
      <c r="F244" s="2" t="s">
        <v>18</v>
      </c>
      <c r="G244" s="9" t="n">
        <v>103254</v>
      </c>
      <c r="H244" s="9" t="n">
        <v>101745</v>
      </c>
      <c r="I244" s="9" t="n">
        <v>233715</v>
      </c>
      <c r="J244" s="10" t="n">
        <f aca="false">G244-H244</f>
        <v>1509</v>
      </c>
      <c r="K244" s="11" t="n">
        <f aca="false">J244/I244</f>
        <v>0.0064565817341634</v>
      </c>
      <c r="L244" s="11" t="n">
        <f aca="false">I244/N244</f>
        <v>0.706572180921659</v>
      </c>
      <c r="M244" s="4" t="n">
        <f aca="false">INDEX('Lok Sabha seats'!$E:$E,MATCH(D244,'Lok Sabha seats'!$A:$A,0))</f>
        <v>0.0266372331120464</v>
      </c>
      <c r="N244" s="9" t="n">
        <v>330773</v>
      </c>
      <c r="O244" s="15"/>
      <c r="P244" s="10" t="n">
        <f aca="false">IF(O244&lt;&gt;"",O244,ROUND(N244*M244/(1+M244),0))</f>
        <v>8582</v>
      </c>
      <c r="Q244" s="16" t="n">
        <f aca="false">P244/J244</f>
        <v>5.68721007289596</v>
      </c>
      <c r="R244" s="2" t="str">
        <f aca="false">IF(P244&gt;J244,"Yes","No")</f>
        <v>Yes</v>
      </c>
      <c r="S244" s="2" t="str">
        <f aca="false">IF(P244*L244&gt;J244,"Yes","No")</f>
        <v>Yes</v>
      </c>
      <c r="T244" s="2" t="s">
        <v>171</v>
      </c>
    </row>
    <row r="245" customFormat="false" ht="15" hidden="false" customHeight="false" outlineLevel="0" collapsed="false">
      <c r="A245" s="2" t="n">
        <v>244</v>
      </c>
      <c r="B245" s="2" t="s">
        <v>343</v>
      </c>
      <c r="C245" s="2" t="s">
        <v>84</v>
      </c>
      <c r="D245" s="2" t="s">
        <v>150</v>
      </c>
      <c r="E245" s="2" t="s">
        <v>34</v>
      </c>
      <c r="F245" s="2" t="s">
        <v>22</v>
      </c>
      <c r="G245" s="9" t="n">
        <v>96091</v>
      </c>
      <c r="H245" s="9" t="n">
        <v>80006</v>
      </c>
      <c r="I245" s="9" t="n">
        <v>231310</v>
      </c>
      <c r="J245" s="10" t="n">
        <f aca="false">G245-H245</f>
        <v>16085</v>
      </c>
      <c r="K245" s="11" t="n">
        <f aca="false">J245/I245</f>
        <v>0.0695387142795383</v>
      </c>
      <c r="L245" s="11" t="n">
        <f aca="false">I245/N245</f>
        <v>0.703082730992055</v>
      </c>
      <c r="M245" s="4" t="n">
        <f aca="false">INDEX('Lok Sabha seats'!$E:$E,MATCH(D245,'Lok Sabha seats'!$A:$A,0))</f>
        <v>0.036965955527971</v>
      </c>
      <c r="N245" s="9" t="n">
        <v>328994</v>
      </c>
      <c r="O245" s="15"/>
      <c r="P245" s="10" t="n">
        <f aca="false">IF(O245&lt;&gt;"",O245,ROUND(N245*M245/(1+M245),0))</f>
        <v>11728</v>
      </c>
      <c r="Q245" s="16" t="n">
        <f aca="false">P245/J245</f>
        <v>0.729126515387007</v>
      </c>
      <c r="R245" s="2" t="str">
        <f aca="false">IF(P245&gt;J245,"Yes","No")</f>
        <v>No</v>
      </c>
      <c r="S245" s="2" t="str">
        <f aca="false">IF(P245*L245&gt;J245,"Yes","No")</f>
        <v>No</v>
      </c>
      <c r="T245" s="2" t="s">
        <v>171</v>
      </c>
    </row>
    <row r="246" customFormat="false" ht="15" hidden="false" customHeight="false" outlineLevel="0" collapsed="false">
      <c r="A246" s="2" t="n">
        <v>245</v>
      </c>
      <c r="B246" s="2" t="s">
        <v>150</v>
      </c>
      <c r="C246" s="2" t="s">
        <v>84</v>
      </c>
      <c r="D246" s="2" t="s">
        <v>150</v>
      </c>
      <c r="E246" s="2" t="s">
        <v>34</v>
      </c>
      <c r="F246" s="2" t="s">
        <v>22</v>
      </c>
      <c r="G246" s="9" t="n">
        <v>136559</v>
      </c>
      <c r="H246" s="9" t="n">
        <v>105938</v>
      </c>
      <c r="I246" s="9" t="n">
        <v>269194</v>
      </c>
      <c r="J246" s="10" t="n">
        <f aca="false">G246-H246</f>
        <v>30621</v>
      </c>
      <c r="K246" s="11" t="n">
        <f aca="false">J246/I246</f>
        <v>0.113750677949731</v>
      </c>
      <c r="L246" s="11" t="n">
        <f aca="false">I246/N246</f>
        <v>0.763257355588887</v>
      </c>
      <c r="M246" s="4" t="n">
        <f aca="false">INDEX('Lok Sabha seats'!$E:$E,MATCH(D246,'Lok Sabha seats'!$A:$A,0))</f>
        <v>0.036965955527971</v>
      </c>
      <c r="N246" s="9" t="n">
        <v>352691</v>
      </c>
      <c r="O246" s="15"/>
      <c r="P246" s="10" t="n">
        <f aca="false">IF(O246&lt;&gt;"",O246,ROUND(N246*M246/(1+M246),0))</f>
        <v>12573</v>
      </c>
      <c r="Q246" s="16" t="n">
        <f aca="false">P246/J246</f>
        <v>0.410600568237484</v>
      </c>
      <c r="R246" s="2" t="str">
        <f aca="false">IF(P246&gt;J246,"Yes","No")</f>
        <v>No</v>
      </c>
      <c r="S246" s="2" t="str">
        <f aca="false">IF(P246*L246&gt;J246,"Yes","No")</f>
        <v>No</v>
      </c>
      <c r="T246" s="2" t="s">
        <v>171</v>
      </c>
    </row>
    <row r="247" customFormat="false" ht="15" hidden="false" customHeight="false" outlineLevel="0" collapsed="false">
      <c r="A247" s="2" t="n">
        <v>246</v>
      </c>
      <c r="B247" s="2" t="s">
        <v>114</v>
      </c>
      <c r="C247" s="2" t="s">
        <v>84</v>
      </c>
      <c r="D247" s="2" t="s">
        <v>54</v>
      </c>
      <c r="E247" s="2" t="s">
        <v>44</v>
      </c>
      <c r="F247" s="2" t="s">
        <v>22</v>
      </c>
      <c r="G247" s="9" t="n">
        <v>122694</v>
      </c>
      <c r="H247" s="9" t="n">
        <v>116222</v>
      </c>
      <c r="I247" s="9" t="n">
        <v>250044</v>
      </c>
      <c r="J247" s="10" t="n">
        <f aca="false">G247-H247</f>
        <v>6472</v>
      </c>
      <c r="K247" s="11" t="n">
        <f aca="false">J247/I247</f>
        <v>0.0258834445137656</v>
      </c>
      <c r="L247" s="11" t="n">
        <f aca="false">I247/N247</f>
        <v>0.740873306291278</v>
      </c>
      <c r="M247" s="4" t="n">
        <f aca="false">INDEX('Lok Sabha seats'!$E:$E,MATCH(D247,'Lok Sabha seats'!$A:$A,0))</f>
        <v>0.0266372331120464</v>
      </c>
      <c r="N247" s="9" t="n">
        <v>337499</v>
      </c>
      <c r="O247" s="15"/>
      <c r="P247" s="10" t="n">
        <f aca="false">IF(O247&lt;&gt;"",O247,ROUND(N247*M247/(1+M247),0))</f>
        <v>8757</v>
      </c>
      <c r="Q247" s="16" t="n">
        <f aca="false">P247/J247</f>
        <v>1.35305933250927</v>
      </c>
      <c r="R247" s="2" t="str">
        <f aca="false">IF(P247&gt;J247,"Yes","No")</f>
        <v>Yes</v>
      </c>
      <c r="S247" s="2" t="str">
        <f aca="false">IF(P247*L247&gt;J247,"Yes","No")</f>
        <v>Yes</v>
      </c>
      <c r="T247" s="2" t="s">
        <v>171</v>
      </c>
    </row>
    <row r="248" customFormat="false" ht="15" hidden="false" customHeight="false" outlineLevel="0" collapsed="false">
      <c r="A248" s="2" t="n">
        <v>247</v>
      </c>
      <c r="B248" s="2" t="s">
        <v>344</v>
      </c>
      <c r="C248" s="2" t="s">
        <v>84</v>
      </c>
      <c r="D248" s="2" t="s">
        <v>84</v>
      </c>
      <c r="E248" s="2" t="s">
        <v>34</v>
      </c>
      <c r="F248" s="2" t="s">
        <v>22</v>
      </c>
      <c r="G248" s="9" t="n">
        <v>125838</v>
      </c>
      <c r="H248" s="9" t="n">
        <v>95636</v>
      </c>
      <c r="I248" s="9" t="n">
        <v>232784</v>
      </c>
      <c r="J248" s="10" t="n">
        <f aca="false">G248-H248</f>
        <v>30202</v>
      </c>
      <c r="K248" s="11" t="n">
        <f aca="false">J248/I248</f>
        <v>0.129742593992714</v>
      </c>
      <c r="L248" s="11" t="n">
        <f aca="false">I248/N248</f>
        <v>0.702303157564458</v>
      </c>
      <c r="M248" s="4" t="n">
        <f aca="false">INDEX('Lok Sabha seats'!$E:$E,MATCH(D248,'Lok Sabha seats'!$A:$A,0))</f>
        <v>0.0573882614762977</v>
      </c>
      <c r="N248" s="9" t="n">
        <v>331458</v>
      </c>
      <c r="O248" s="15"/>
      <c r="P248" s="10" t="n">
        <f aca="false">IF(O248&lt;&gt;"",O248,ROUND(N248*M248/(1+M248),0))</f>
        <v>17989</v>
      </c>
      <c r="Q248" s="16" t="n">
        <f aca="false">P248/J248</f>
        <v>0.59562280643666</v>
      </c>
      <c r="R248" s="2" t="str">
        <f aca="false">IF(P248&gt;J248,"Yes","No")</f>
        <v>No</v>
      </c>
      <c r="S248" s="2" t="str">
        <f aca="false">IF(P248*L248&gt;J248,"Yes","No")</f>
        <v>No</v>
      </c>
      <c r="T248" s="2" t="s">
        <v>171</v>
      </c>
    </row>
    <row r="249" customFormat="false" ht="15" hidden="false" customHeight="false" outlineLevel="0" collapsed="false">
      <c r="A249" s="2" t="n">
        <v>248</v>
      </c>
      <c r="B249" s="2" t="s">
        <v>345</v>
      </c>
      <c r="C249" s="2" t="s">
        <v>84</v>
      </c>
      <c r="D249" s="2" t="s">
        <v>84</v>
      </c>
      <c r="E249" s="2" t="s">
        <v>17</v>
      </c>
      <c r="F249" s="2" t="s">
        <v>18</v>
      </c>
      <c r="G249" s="9" t="n">
        <v>117215</v>
      </c>
      <c r="H249" s="9" t="n">
        <v>62632</v>
      </c>
      <c r="I249" s="9" t="n">
        <v>192503</v>
      </c>
      <c r="J249" s="10" t="n">
        <f aca="false">G249-H249</f>
        <v>54583</v>
      </c>
      <c r="K249" s="11" t="n">
        <f aca="false">J249/I249</f>
        <v>0.283543633086238</v>
      </c>
      <c r="L249" s="11" t="n">
        <f aca="false">I249/N249</f>
        <v>0.585877676734475</v>
      </c>
      <c r="M249" s="4" t="n">
        <f aca="false">INDEX('Lok Sabha seats'!$E:$E,MATCH(D249,'Lok Sabha seats'!$A:$A,0))</f>
        <v>0.0573882614762977</v>
      </c>
      <c r="N249" s="9" t="n">
        <v>328572</v>
      </c>
      <c r="O249" s="15"/>
      <c r="P249" s="10" t="n">
        <f aca="false">IF(O249&lt;&gt;"",O249,ROUND(N249*M249/(1+M249),0))</f>
        <v>17833</v>
      </c>
      <c r="Q249" s="16" t="n">
        <f aca="false">P249/J249</f>
        <v>0.326713445578294</v>
      </c>
      <c r="R249" s="2" t="str">
        <f aca="false">IF(P249&gt;J249,"Yes","No")</f>
        <v>No</v>
      </c>
      <c r="S249" s="2" t="str">
        <f aca="false">IF(P249*L249&gt;J249,"Yes","No")</f>
        <v>No</v>
      </c>
      <c r="T249" s="2" t="s">
        <v>171</v>
      </c>
    </row>
    <row r="250" customFormat="false" ht="15" hidden="false" customHeight="false" outlineLevel="0" collapsed="false">
      <c r="A250" s="2" t="n">
        <v>249</v>
      </c>
      <c r="B250" s="2" t="s">
        <v>346</v>
      </c>
      <c r="C250" s="2" t="s">
        <v>84</v>
      </c>
      <c r="D250" s="2" t="s">
        <v>84</v>
      </c>
      <c r="E250" s="2" t="s">
        <v>17</v>
      </c>
      <c r="F250" s="2" t="s">
        <v>18</v>
      </c>
      <c r="G250" s="9" t="n">
        <v>110278</v>
      </c>
      <c r="H250" s="9" t="n">
        <v>61428</v>
      </c>
      <c r="I250" s="9" t="n">
        <v>201557</v>
      </c>
      <c r="J250" s="10" t="n">
        <f aca="false">G250-H250</f>
        <v>48850</v>
      </c>
      <c r="K250" s="11" t="n">
        <f aca="false">J250/I250</f>
        <v>0.242363202468781</v>
      </c>
      <c r="L250" s="11" t="n">
        <f aca="false">I250/N250</f>
        <v>0.581397092971267</v>
      </c>
      <c r="M250" s="4" t="n">
        <f aca="false">INDEX('Lok Sabha seats'!$E:$E,MATCH(D250,'Lok Sabha seats'!$A:$A,0))</f>
        <v>0.0573882614762977</v>
      </c>
      <c r="N250" s="9" t="n">
        <v>346677</v>
      </c>
      <c r="O250" s="15"/>
      <c r="P250" s="10" t="n">
        <f aca="false">IF(O250&lt;&gt;"",O250,ROUND(N250*M250/(1+M250),0))</f>
        <v>18815</v>
      </c>
      <c r="Q250" s="16" t="n">
        <f aca="false">P250/J250</f>
        <v>0.385158648925281</v>
      </c>
      <c r="R250" s="2" t="str">
        <f aca="false">IF(P250&gt;J250,"Yes","No")</f>
        <v>No</v>
      </c>
      <c r="S250" s="2" t="str">
        <f aca="false">IF(P250*L250&gt;J250,"Yes","No")</f>
        <v>No</v>
      </c>
      <c r="T250" s="2" t="s">
        <v>171</v>
      </c>
    </row>
    <row r="251" customFormat="false" ht="15" hidden="false" customHeight="false" outlineLevel="0" collapsed="false">
      <c r="A251" s="2" t="n">
        <v>250</v>
      </c>
      <c r="B251" s="2" t="s">
        <v>347</v>
      </c>
      <c r="C251" s="2" t="s">
        <v>84</v>
      </c>
      <c r="D251" s="2" t="s">
        <v>84</v>
      </c>
      <c r="E251" s="2" t="s">
        <v>17</v>
      </c>
      <c r="F251" s="2" t="s">
        <v>18</v>
      </c>
      <c r="G251" s="9" t="n">
        <v>148105</v>
      </c>
      <c r="H251" s="9" t="n">
        <v>98533</v>
      </c>
      <c r="I251" s="9" t="n">
        <v>256999</v>
      </c>
      <c r="J251" s="10" t="n">
        <f aca="false">G251-H251</f>
        <v>49572</v>
      </c>
      <c r="K251" s="11" t="n">
        <f aca="false">J251/I251</f>
        <v>0.192887910069689</v>
      </c>
      <c r="L251" s="11" t="n">
        <f aca="false">I251/N251</f>
        <v>0.670177506460589</v>
      </c>
      <c r="M251" s="4" t="n">
        <f aca="false">INDEX('Lok Sabha seats'!$E:$E,MATCH(D251,'Lok Sabha seats'!$A:$A,0))</f>
        <v>0.0573882614762977</v>
      </c>
      <c r="N251" s="9" t="n">
        <v>383479</v>
      </c>
      <c r="O251" s="15"/>
      <c r="P251" s="10" t="n">
        <f aca="false">IF(O251&lt;&gt;"",O251,ROUND(N251*M251/(1+M251),0))</f>
        <v>20813</v>
      </c>
      <c r="Q251" s="16" t="n">
        <f aca="false">P251/J251</f>
        <v>0.419853949810377</v>
      </c>
      <c r="R251" s="2" t="str">
        <f aca="false">IF(P251&gt;J251,"Yes","No")</f>
        <v>No</v>
      </c>
      <c r="S251" s="2" t="str">
        <f aca="false">IF(P251*L251&gt;J251,"Yes","No")</f>
        <v>No</v>
      </c>
      <c r="T251" s="2" t="s">
        <v>171</v>
      </c>
    </row>
    <row r="252" customFormat="false" ht="15" hidden="false" customHeight="false" outlineLevel="0" collapsed="false">
      <c r="A252" s="2" t="n">
        <v>251</v>
      </c>
      <c r="B252" s="2" t="s">
        <v>348</v>
      </c>
      <c r="C252" s="2" t="s">
        <v>84</v>
      </c>
      <c r="D252" s="2" t="s">
        <v>84</v>
      </c>
      <c r="E252" s="2" t="s">
        <v>17</v>
      </c>
      <c r="F252" s="2" t="s">
        <v>18</v>
      </c>
      <c r="G252" s="9" t="n">
        <v>116932</v>
      </c>
      <c r="H252" s="9" t="n">
        <v>39805</v>
      </c>
      <c r="I252" s="9" t="n">
        <v>225958</v>
      </c>
      <c r="J252" s="10" t="n">
        <f aca="false">G252-H252</f>
        <v>77127</v>
      </c>
      <c r="K252" s="11" t="n">
        <f aca="false">J252/I252</f>
        <v>0.341333345134937</v>
      </c>
      <c r="L252" s="11" t="n">
        <f aca="false">I252/N252</f>
        <v>0.590347847442483</v>
      </c>
      <c r="M252" s="4" t="n">
        <f aca="false">INDEX('Lok Sabha seats'!$E:$E,MATCH(D252,'Lok Sabha seats'!$A:$A,0))</f>
        <v>0.0573882614762977</v>
      </c>
      <c r="N252" s="9" t="n">
        <v>382754</v>
      </c>
      <c r="O252" s="15"/>
      <c r="P252" s="10" t="n">
        <f aca="false">IF(O252&lt;&gt;"",O252,ROUND(N252*M252/(1+M252),0))</f>
        <v>20773</v>
      </c>
      <c r="Q252" s="16" t="n">
        <f aca="false">P252/J252</f>
        <v>0.269334992933733</v>
      </c>
      <c r="R252" s="2" t="str">
        <f aca="false">IF(P252&gt;J252,"Yes","No")</f>
        <v>No</v>
      </c>
      <c r="S252" s="2" t="str">
        <f aca="false">IF(P252*L252&gt;J252,"Yes","No")</f>
        <v>No</v>
      </c>
      <c r="T252" s="2" t="s">
        <v>171</v>
      </c>
    </row>
    <row r="253" customFormat="false" ht="15" hidden="false" customHeight="false" outlineLevel="0" collapsed="false">
      <c r="A253" s="2" t="n">
        <v>252</v>
      </c>
      <c r="B253" s="2" t="s">
        <v>83</v>
      </c>
      <c r="C253" s="2" t="s">
        <v>84</v>
      </c>
      <c r="D253" s="2" t="s">
        <v>84</v>
      </c>
      <c r="E253" s="2" t="s">
        <v>17</v>
      </c>
      <c r="F253" s="2" t="s">
        <v>18</v>
      </c>
      <c r="G253" s="9" t="n">
        <v>125163</v>
      </c>
      <c r="H253" s="9" t="n">
        <v>116733</v>
      </c>
      <c r="I253" s="9" t="n">
        <v>262362</v>
      </c>
      <c r="J253" s="10" t="n">
        <f aca="false">G253-H253</f>
        <v>8430</v>
      </c>
      <c r="K253" s="11" t="n">
        <f aca="false">J253/I253</f>
        <v>0.0321311775333318</v>
      </c>
      <c r="L253" s="11" t="n">
        <f aca="false">I253/N253</f>
        <v>0.702095888504726</v>
      </c>
      <c r="M253" s="4" t="n">
        <f aca="false">INDEX('Lok Sabha seats'!$E:$E,MATCH(D253,'Lok Sabha seats'!$A:$A,0))</f>
        <v>0.0573882614762977</v>
      </c>
      <c r="N253" s="9" t="n">
        <v>373684</v>
      </c>
      <c r="O253" s="15"/>
      <c r="P253" s="10" t="n">
        <f aca="false">IF(O253&lt;&gt;"",O253,ROUND(N253*M253/(1+M253),0))</f>
        <v>20281</v>
      </c>
      <c r="Q253" s="16" t="n">
        <f aca="false">P253/J253</f>
        <v>2.40581257413998</v>
      </c>
      <c r="R253" s="2" t="str">
        <f aca="false">IF(P253&gt;J253,"Yes","No")</f>
        <v>Yes</v>
      </c>
      <c r="S253" s="2" t="str">
        <f aca="false">IF(P253*L253&gt;J253,"Yes","No")</f>
        <v>Yes</v>
      </c>
      <c r="T253" s="2" t="s">
        <v>171</v>
      </c>
    </row>
    <row r="254" customFormat="false" ht="15" hidden="false" customHeight="false" outlineLevel="0" collapsed="false">
      <c r="A254" s="2" t="n">
        <v>253</v>
      </c>
      <c r="B254" s="2" t="s">
        <v>349</v>
      </c>
      <c r="C254" s="2" t="s">
        <v>84</v>
      </c>
      <c r="D254" s="2" t="s">
        <v>150</v>
      </c>
      <c r="E254" s="2" t="s">
        <v>350</v>
      </c>
      <c r="F254" s="2" t="s">
        <v>13</v>
      </c>
      <c r="G254" s="9" t="n">
        <v>116256</v>
      </c>
      <c r="H254" s="9" t="n">
        <v>90870</v>
      </c>
      <c r="I254" s="9" t="n">
        <v>263679</v>
      </c>
      <c r="J254" s="10" t="n">
        <f aca="false">G254-H254</f>
        <v>25386</v>
      </c>
      <c r="K254" s="11" t="n">
        <f aca="false">J254/I254</f>
        <v>0.0962761539599285</v>
      </c>
      <c r="L254" s="11" t="n">
        <f aca="false">I254/N254</f>
        <v>0.790658274686425</v>
      </c>
      <c r="M254" s="4" t="n">
        <f aca="false">INDEX('Lok Sabha seats'!$E:$E,MATCH(D254,'Lok Sabha seats'!$A:$A,0))</f>
        <v>0.036965955527971</v>
      </c>
      <c r="N254" s="9" t="n">
        <v>333493</v>
      </c>
      <c r="O254" s="15"/>
      <c r="P254" s="10" t="n">
        <f aca="false">IF(O254&lt;&gt;"",O254,ROUND(N254*M254/(1+M254),0))</f>
        <v>11888</v>
      </c>
      <c r="Q254" s="16" t="n">
        <f aca="false">P254/J254</f>
        <v>0.4682896084456</v>
      </c>
      <c r="R254" s="2" t="str">
        <f aca="false">IF(P254&gt;J254,"Yes","No")</f>
        <v>No</v>
      </c>
      <c r="S254" s="2" t="str">
        <f aca="false">IF(P254*L254&gt;J254,"Yes","No")</f>
        <v>No</v>
      </c>
      <c r="T254" s="2" t="s">
        <v>171</v>
      </c>
    </row>
    <row r="255" customFormat="false" ht="15" hidden="false" customHeight="false" outlineLevel="0" collapsed="false">
      <c r="A255" s="2" t="n">
        <v>254</v>
      </c>
      <c r="B255" s="2" t="s">
        <v>351</v>
      </c>
      <c r="C255" s="2" t="s">
        <v>84</v>
      </c>
      <c r="D255" s="2" t="s">
        <v>150</v>
      </c>
      <c r="E255" s="2" t="s">
        <v>34</v>
      </c>
      <c r="F255" s="2" t="s">
        <v>22</v>
      </c>
      <c r="G255" s="9" t="n">
        <v>121713</v>
      </c>
      <c r="H255" s="9" t="n">
        <v>108566</v>
      </c>
      <c r="I255" s="9" t="n">
        <v>242850</v>
      </c>
      <c r="J255" s="10" t="n">
        <f aca="false">G255-H255</f>
        <v>13147</v>
      </c>
      <c r="K255" s="11" t="n">
        <f aca="false">J255/I255</f>
        <v>0.0541362981264155</v>
      </c>
      <c r="L255" s="11" t="n">
        <f aca="false">I255/N255</f>
        <v>0.694714619187111</v>
      </c>
      <c r="M255" s="4" t="n">
        <f aca="false">INDEX('Lok Sabha seats'!$E:$E,MATCH(D255,'Lok Sabha seats'!$A:$A,0))</f>
        <v>0.036965955527971</v>
      </c>
      <c r="N255" s="9" t="n">
        <v>349568</v>
      </c>
      <c r="O255" s="15"/>
      <c r="P255" s="10" t="n">
        <f aca="false">IF(O255&lt;&gt;"",O255,ROUND(N255*M255/(1+M255),0))</f>
        <v>12461</v>
      </c>
      <c r="Q255" s="16" t="n">
        <f aca="false">P255/J255</f>
        <v>0.947820795618772</v>
      </c>
      <c r="R255" s="2" t="str">
        <f aca="false">IF(P255&gt;J255,"Yes","No")</f>
        <v>No</v>
      </c>
      <c r="S255" s="2" t="str">
        <f aca="false">IF(P255*L255&gt;J255,"Yes","No")</f>
        <v>No</v>
      </c>
      <c r="T255" s="2" t="s">
        <v>171</v>
      </c>
    </row>
    <row r="256" customFormat="false" ht="15" hidden="false" customHeight="false" outlineLevel="0" collapsed="false">
      <c r="A256" s="2" t="n">
        <v>255</v>
      </c>
      <c r="B256" s="2" t="s">
        <v>352</v>
      </c>
      <c r="C256" s="2" t="s">
        <v>156</v>
      </c>
      <c r="D256" s="2" t="s">
        <v>150</v>
      </c>
      <c r="E256" s="2" t="s">
        <v>25</v>
      </c>
      <c r="F256" s="2" t="s">
        <v>18</v>
      </c>
      <c r="G256" s="9" t="n">
        <v>119287</v>
      </c>
      <c r="H256" s="9" t="n">
        <v>102241</v>
      </c>
      <c r="I256" s="9" t="n">
        <v>244571</v>
      </c>
      <c r="J256" s="10" t="n">
        <f aca="false">G256-H256</f>
        <v>17046</v>
      </c>
      <c r="K256" s="11" t="n">
        <f aca="false">J256/I256</f>
        <v>0.0696975520401029</v>
      </c>
      <c r="L256" s="11" t="n">
        <f aca="false">I256/N256</f>
        <v>0.72004227732275</v>
      </c>
      <c r="M256" s="4" t="n">
        <f aca="false">INDEX('Lok Sabha seats'!$E:$E,MATCH(D256,'Lok Sabha seats'!$A:$A,0))</f>
        <v>0.036965955527971</v>
      </c>
      <c r="N256" s="9" t="n">
        <v>339662</v>
      </c>
      <c r="O256" s="15"/>
      <c r="P256" s="10" t="n">
        <f aca="false">IF(O256&lt;&gt;"",O256,ROUND(N256*M256/(1+M256),0))</f>
        <v>12108</v>
      </c>
      <c r="Q256" s="16" t="n">
        <f aca="false">P256/J256</f>
        <v>0.710313269975361</v>
      </c>
      <c r="R256" s="2" t="str">
        <f aca="false">IF(P256&gt;J256,"Yes","No")</f>
        <v>No</v>
      </c>
      <c r="S256" s="2" t="str">
        <f aca="false">IF(P256*L256&gt;J256,"Yes","No")</f>
        <v>No</v>
      </c>
      <c r="T256" s="2" t="s">
        <v>171</v>
      </c>
    </row>
    <row r="257" customFormat="false" ht="15" hidden="false" customHeight="false" outlineLevel="0" collapsed="false">
      <c r="A257" s="2" t="n">
        <v>256</v>
      </c>
      <c r="B257" s="2" t="s">
        <v>353</v>
      </c>
      <c r="C257" s="2" t="s">
        <v>156</v>
      </c>
      <c r="D257" s="2" t="s">
        <v>156</v>
      </c>
      <c r="E257" s="2" t="s">
        <v>25</v>
      </c>
      <c r="F257" s="2" t="s">
        <v>18</v>
      </c>
      <c r="G257" s="9" t="n">
        <v>140971</v>
      </c>
      <c r="H257" s="9" t="n">
        <v>79579</v>
      </c>
      <c r="I257" s="9" t="n">
        <v>236827</v>
      </c>
      <c r="J257" s="10" t="n">
        <f aca="false">G257-H257</f>
        <v>61392</v>
      </c>
      <c r="K257" s="11" t="n">
        <f aca="false">J257/I257</f>
        <v>0.259227199601397</v>
      </c>
      <c r="L257" s="11" t="n">
        <f aca="false">I257/N257</f>
        <v>0.682321588060734</v>
      </c>
      <c r="M257" s="4" t="n">
        <f aca="false">INDEX('Lok Sabha seats'!$E:$E,MATCH(D257,'Lok Sabha seats'!$A:$A,0))</f>
        <v>0.0279033094499772</v>
      </c>
      <c r="N257" s="9" t="n">
        <v>347090</v>
      </c>
      <c r="O257" s="15"/>
      <c r="P257" s="10" t="n">
        <f aca="false">IF(O257&lt;&gt;"",O257,ROUND(N257*M257/(1+M257),0))</f>
        <v>9422</v>
      </c>
      <c r="Q257" s="16" t="n">
        <f aca="false">P257/J257</f>
        <v>0.153472765181131</v>
      </c>
      <c r="R257" s="2" t="str">
        <f aca="false">IF(P257&gt;J257,"Yes","No")</f>
        <v>No</v>
      </c>
      <c r="S257" s="2" t="str">
        <f aca="false">IF(P257*L257&gt;J257,"Yes","No")</f>
        <v>No</v>
      </c>
      <c r="T257" s="2" t="s">
        <v>171</v>
      </c>
    </row>
    <row r="258" customFormat="false" ht="15" hidden="false" customHeight="false" outlineLevel="0" collapsed="false">
      <c r="A258" s="2" t="n">
        <v>257</v>
      </c>
      <c r="B258" s="2" t="s">
        <v>354</v>
      </c>
      <c r="C258" s="2" t="s">
        <v>156</v>
      </c>
      <c r="D258" s="2" t="s">
        <v>156</v>
      </c>
      <c r="E258" s="2" t="s">
        <v>27</v>
      </c>
      <c r="F258" s="2" t="s">
        <v>18</v>
      </c>
      <c r="G258" s="9" t="n">
        <v>146166</v>
      </c>
      <c r="H258" s="9" t="n">
        <v>101103</v>
      </c>
      <c r="I258" s="9" t="n">
        <v>252258</v>
      </c>
      <c r="J258" s="10" t="n">
        <f aca="false">G258-H258</f>
        <v>45063</v>
      </c>
      <c r="K258" s="11" t="n">
        <f aca="false">J258/I258</f>
        <v>0.178638536736199</v>
      </c>
      <c r="L258" s="11" t="n">
        <f aca="false">I258/N258</f>
        <v>0.7855519086204</v>
      </c>
      <c r="M258" s="4" t="n">
        <f aca="false">INDEX('Lok Sabha seats'!$E:$E,MATCH(D258,'Lok Sabha seats'!$A:$A,0))</f>
        <v>0.0279033094499772</v>
      </c>
      <c r="N258" s="9" t="n">
        <v>321122</v>
      </c>
      <c r="O258" s="15"/>
      <c r="P258" s="10" t="n">
        <f aca="false">IF(O258&lt;&gt;"",O258,ROUND(N258*M258/(1+M258),0))</f>
        <v>8717</v>
      </c>
      <c r="Q258" s="16" t="n">
        <f aca="false">P258/J258</f>
        <v>0.193440294698533</v>
      </c>
      <c r="R258" s="2" t="str">
        <f aca="false">IF(P258&gt;J258,"Yes","No")</f>
        <v>No</v>
      </c>
      <c r="S258" s="2" t="str">
        <f aca="false">IF(P258*L258&gt;J258,"Yes","No")</f>
        <v>No</v>
      </c>
      <c r="T258" s="2" t="s">
        <v>171</v>
      </c>
    </row>
    <row r="259" customFormat="false" ht="15" hidden="false" customHeight="false" outlineLevel="0" collapsed="false">
      <c r="A259" s="2" t="n">
        <v>258</v>
      </c>
      <c r="B259" s="2" t="s">
        <v>355</v>
      </c>
      <c r="C259" s="2" t="s">
        <v>156</v>
      </c>
      <c r="D259" s="2" t="s">
        <v>150</v>
      </c>
      <c r="E259" s="2" t="s">
        <v>17</v>
      </c>
      <c r="F259" s="2" t="s">
        <v>18</v>
      </c>
      <c r="G259" s="9" t="n">
        <v>150021</v>
      </c>
      <c r="H259" s="9" t="n">
        <v>100346</v>
      </c>
      <c r="I259" s="9" t="n">
        <v>263192</v>
      </c>
      <c r="J259" s="10" t="n">
        <f aca="false">G259-H259</f>
        <v>49675</v>
      </c>
      <c r="K259" s="11" t="n">
        <f aca="false">J259/I259</f>
        <v>0.188740539226116</v>
      </c>
      <c r="L259" s="11" t="n">
        <f aca="false">I259/N259</f>
        <v>0.729746965302693</v>
      </c>
      <c r="M259" s="4" t="n">
        <f aca="false">INDEX('Lok Sabha seats'!$E:$E,MATCH(D259,'Lok Sabha seats'!$A:$A,0))</f>
        <v>0.036965955527971</v>
      </c>
      <c r="N259" s="9" t="n">
        <v>360662</v>
      </c>
      <c r="O259" s="15"/>
      <c r="P259" s="10" t="n">
        <f aca="false">IF(O259&lt;&gt;"",O259,ROUND(N259*M259/(1+M259),0))</f>
        <v>12857</v>
      </c>
      <c r="Q259" s="16" t="n">
        <f aca="false">P259/J259</f>
        <v>0.258822345244087</v>
      </c>
      <c r="R259" s="2" t="str">
        <f aca="false">IF(P259&gt;J259,"Yes","No")</f>
        <v>No</v>
      </c>
      <c r="S259" s="2" t="str">
        <f aca="false">IF(P259*L259&gt;J259,"Yes","No")</f>
        <v>No</v>
      </c>
      <c r="T259" s="2" t="s">
        <v>171</v>
      </c>
    </row>
    <row r="260" customFormat="false" ht="15" hidden="false" customHeight="false" outlineLevel="0" collapsed="false">
      <c r="A260" s="2" t="n">
        <v>259</v>
      </c>
      <c r="B260" s="2" t="s">
        <v>356</v>
      </c>
      <c r="C260" s="2" t="s">
        <v>156</v>
      </c>
      <c r="D260" s="2" t="s">
        <v>156</v>
      </c>
      <c r="E260" s="2" t="s">
        <v>17</v>
      </c>
      <c r="F260" s="2" t="s">
        <v>18</v>
      </c>
      <c r="G260" s="9" t="n">
        <v>134626</v>
      </c>
      <c r="H260" s="9" t="n">
        <v>90935</v>
      </c>
      <c r="I260" s="9" t="n">
        <v>231281</v>
      </c>
      <c r="J260" s="10" t="n">
        <f aca="false">G260-H260</f>
        <v>43691</v>
      </c>
      <c r="K260" s="11" t="n">
        <f aca="false">J260/I260</f>
        <v>0.188908730072942</v>
      </c>
      <c r="L260" s="11" t="n">
        <f aca="false">I260/N260</f>
        <v>0.755319183678801</v>
      </c>
      <c r="M260" s="4" t="n">
        <f aca="false">INDEX('Lok Sabha seats'!$E:$E,MATCH(D260,'Lok Sabha seats'!$A:$A,0))</f>
        <v>0.0279033094499772</v>
      </c>
      <c r="N260" s="9" t="n">
        <v>306203</v>
      </c>
      <c r="O260" s="15"/>
      <c r="P260" s="10" t="n">
        <f aca="false">IF(O260&lt;&gt;"",O260,ROUND(N260*M260/(1+M260),0))</f>
        <v>8312</v>
      </c>
      <c r="Q260" s="16" t="n">
        <f aca="false">P260/J260</f>
        <v>0.190245130576091</v>
      </c>
      <c r="R260" s="2" t="str">
        <f aca="false">IF(P260&gt;J260,"Yes","No")</f>
        <v>No</v>
      </c>
      <c r="S260" s="2" t="str">
        <f aca="false">IF(P260*L260&gt;J260,"Yes","No")</f>
        <v>No</v>
      </c>
      <c r="T260" s="2" t="s">
        <v>171</v>
      </c>
    </row>
    <row r="261" customFormat="false" ht="15" hidden="false" customHeight="false" outlineLevel="0" collapsed="false">
      <c r="A261" s="2" t="n">
        <v>260</v>
      </c>
      <c r="B261" s="2" t="s">
        <v>357</v>
      </c>
      <c r="C261" s="2" t="s">
        <v>156</v>
      </c>
      <c r="D261" s="2" t="s">
        <v>156</v>
      </c>
      <c r="E261" s="2" t="s">
        <v>17</v>
      </c>
      <c r="F261" s="2" t="s">
        <v>18</v>
      </c>
      <c r="G261" s="9" t="n">
        <v>139505</v>
      </c>
      <c r="H261" s="9" t="n">
        <v>100150</v>
      </c>
      <c r="I261" s="9" t="n">
        <v>243101</v>
      </c>
      <c r="J261" s="10" t="n">
        <f aca="false">G261-H261</f>
        <v>39355</v>
      </c>
      <c r="K261" s="11" t="n">
        <f aca="false">J261/I261</f>
        <v>0.161887445958676</v>
      </c>
      <c r="L261" s="11" t="n">
        <f aca="false">I261/N261</f>
        <v>0.770721577579101</v>
      </c>
      <c r="M261" s="4" t="n">
        <f aca="false">INDEX('Lok Sabha seats'!$E:$E,MATCH(D261,'Lok Sabha seats'!$A:$A,0))</f>
        <v>0.0279033094499772</v>
      </c>
      <c r="N261" s="9" t="n">
        <v>315420</v>
      </c>
      <c r="O261" s="15"/>
      <c r="P261" s="10" t="n">
        <f aca="false">IF(O261&lt;&gt;"",O261,ROUND(N261*M261/(1+M261),0))</f>
        <v>8562</v>
      </c>
      <c r="Q261" s="16" t="n">
        <f aca="false">P261/J261</f>
        <v>0.217558124761784</v>
      </c>
      <c r="R261" s="2" t="str">
        <f aca="false">IF(P261&gt;J261,"Yes","No")</f>
        <v>No</v>
      </c>
      <c r="S261" s="2" t="str">
        <f aca="false">IF(P261*L261&gt;J261,"Yes","No")</f>
        <v>No</v>
      </c>
      <c r="T261" s="2" t="s">
        <v>171</v>
      </c>
    </row>
    <row r="262" customFormat="false" ht="15" hidden="false" customHeight="false" outlineLevel="0" collapsed="false">
      <c r="A262" s="2" t="n">
        <v>261</v>
      </c>
      <c r="B262" s="2" t="s">
        <v>358</v>
      </c>
      <c r="C262" s="2" t="s">
        <v>156</v>
      </c>
      <c r="D262" s="2" t="s">
        <v>156</v>
      </c>
      <c r="E262" s="2" t="s">
        <v>27</v>
      </c>
      <c r="F262" s="2" t="s">
        <v>18</v>
      </c>
      <c r="G262" s="9" t="n">
        <v>125759</v>
      </c>
      <c r="H262" s="9" t="n">
        <v>90935</v>
      </c>
      <c r="I262" s="9" t="n">
        <v>231484</v>
      </c>
      <c r="J262" s="10" t="n">
        <f aca="false">G262-H262</f>
        <v>34824</v>
      </c>
      <c r="K262" s="11" t="n">
        <f aca="false">J262/I262</f>
        <v>0.15043804323409</v>
      </c>
      <c r="L262" s="11" t="n">
        <f aca="false">I262/N262</f>
        <v>0.746811716237099</v>
      </c>
      <c r="M262" s="4" t="n">
        <f aca="false">INDEX('Lok Sabha seats'!$E:$E,MATCH(D262,'Lok Sabha seats'!$A:$A,0))</f>
        <v>0.0279033094499772</v>
      </c>
      <c r="N262" s="9" t="n">
        <v>309963</v>
      </c>
      <c r="O262" s="15"/>
      <c r="P262" s="10" t="n">
        <f aca="false">IF(O262&lt;&gt;"",O262,ROUND(N262*M262/(1+M262),0))</f>
        <v>8414</v>
      </c>
      <c r="Q262" s="16" t="n">
        <f aca="false">P262/J262</f>
        <v>0.241614978175971</v>
      </c>
      <c r="R262" s="2" t="str">
        <f aca="false">IF(P262&gt;J262,"Yes","No")</f>
        <v>No</v>
      </c>
      <c r="S262" s="2" t="str">
        <f aca="false">IF(P262*L262&gt;J262,"Yes","No")</f>
        <v>No</v>
      </c>
      <c r="T262" s="2" t="s">
        <v>171</v>
      </c>
    </row>
    <row r="263" customFormat="false" ht="15" hidden="false" customHeight="false" outlineLevel="0" collapsed="false">
      <c r="A263" s="2" t="n">
        <v>262</v>
      </c>
      <c r="B263" s="2" t="s">
        <v>156</v>
      </c>
      <c r="C263" s="2" t="s">
        <v>156</v>
      </c>
      <c r="D263" s="2" t="s">
        <v>156</v>
      </c>
      <c r="E263" s="2" t="s">
        <v>17</v>
      </c>
      <c r="F263" s="2" t="s">
        <v>18</v>
      </c>
      <c r="G263" s="9" t="n">
        <v>176849</v>
      </c>
      <c r="H263" s="9" t="n">
        <v>34725</v>
      </c>
      <c r="I263" s="9" t="n">
        <v>220081</v>
      </c>
      <c r="J263" s="10" t="n">
        <f aca="false">G263-H263</f>
        <v>142124</v>
      </c>
      <c r="K263" s="11" t="n">
        <f aca="false">J263/I263</f>
        <v>0.645780417210027</v>
      </c>
      <c r="L263" s="11" t="n">
        <f aca="false">I263/N263</f>
        <v>0.642249731521688</v>
      </c>
      <c r="M263" s="4" t="n">
        <f aca="false">INDEX('Lok Sabha seats'!$E:$E,MATCH(D263,'Lok Sabha seats'!$A:$A,0))</f>
        <v>0.0279033094499772</v>
      </c>
      <c r="N263" s="9" t="n">
        <v>342672</v>
      </c>
      <c r="O263" s="15"/>
      <c r="P263" s="10" t="n">
        <f aca="false">IF(O263&lt;&gt;"",O263,ROUND(N263*M263/(1+M263),0))</f>
        <v>9302</v>
      </c>
      <c r="Q263" s="16" t="n">
        <f aca="false">P263/J263</f>
        <v>0.0654498888294729</v>
      </c>
      <c r="R263" s="2" t="str">
        <f aca="false">IF(P263&gt;J263,"Yes","No")</f>
        <v>No</v>
      </c>
      <c r="S263" s="2" t="str">
        <f aca="false">IF(P263*L263&gt;J263,"Yes","No")</f>
        <v>No</v>
      </c>
      <c r="T263" s="2" t="s">
        <v>171</v>
      </c>
    </row>
    <row r="264" customFormat="false" ht="15" hidden="false" customHeight="false" outlineLevel="0" collapsed="false">
      <c r="A264" s="2" t="n">
        <v>263</v>
      </c>
      <c r="B264" s="2" t="s">
        <v>359</v>
      </c>
      <c r="C264" s="2" t="s">
        <v>360</v>
      </c>
      <c r="D264" s="2" t="s">
        <v>96</v>
      </c>
      <c r="E264" s="2" t="s">
        <v>27</v>
      </c>
      <c r="F264" s="2" t="s">
        <v>18</v>
      </c>
      <c r="G264" s="9" t="n">
        <v>105007</v>
      </c>
      <c r="H264" s="9" t="n">
        <v>80914</v>
      </c>
      <c r="I264" s="9" t="n">
        <v>196939</v>
      </c>
      <c r="J264" s="10" t="n">
        <f aca="false">G264-H264</f>
        <v>24093</v>
      </c>
      <c r="K264" s="11" t="n">
        <f aca="false">J264/I264</f>
        <v>0.12233737350144</v>
      </c>
      <c r="L264" s="11" t="n">
        <f aca="false">I264/N264</f>
        <v>0.676076306999386</v>
      </c>
      <c r="M264" s="4" t="n">
        <f aca="false">INDEX('Lok Sabha seats'!$E:$E,MATCH(D264,'Lok Sabha seats'!$A:$A,0))</f>
        <v>0.0248817410026061</v>
      </c>
      <c r="N264" s="9" t="n">
        <v>291297</v>
      </c>
      <c r="O264" s="15"/>
      <c r="P264" s="10" t="n">
        <f aca="false">IF(O264&lt;&gt;"",O264,ROUND(N264*M264/(1+M264),0))</f>
        <v>7072</v>
      </c>
      <c r="Q264" s="16" t="n">
        <f aca="false">P264/J264</f>
        <v>0.293529240858341</v>
      </c>
      <c r="R264" s="2" t="str">
        <f aca="false">IF(P264&gt;J264,"Yes","No")</f>
        <v>No</v>
      </c>
      <c r="S264" s="2" t="str">
        <f aca="false">IF(P264*L264&gt;J264,"Yes","No")</f>
        <v>No</v>
      </c>
      <c r="T264" s="2" t="s">
        <v>171</v>
      </c>
    </row>
    <row r="265" customFormat="false" ht="15" hidden="false" customHeight="false" outlineLevel="0" collapsed="false">
      <c r="A265" s="2" t="n">
        <v>264</v>
      </c>
      <c r="B265" s="2" t="s">
        <v>95</v>
      </c>
      <c r="C265" s="2" t="s">
        <v>360</v>
      </c>
      <c r="D265" s="2" t="s">
        <v>96</v>
      </c>
      <c r="E265" s="2" t="s">
        <v>44</v>
      </c>
      <c r="F265" s="2" t="s">
        <v>22</v>
      </c>
      <c r="G265" s="9" t="n">
        <v>71241</v>
      </c>
      <c r="H265" s="9" t="n">
        <v>68411</v>
      </c>
      <c r="I265" s="9" t="n">
        <v>151487</v>
      </c>
      <c r="J265" s="10" t="n">
        <f aca="false">G265-H265</f>
        <v>2830</v>
      </c>
      <c r="K265" s="11" t="n">
        <f aca="false">J265/I265</f>
        <v>0.018681471017315</v>
      </c>
      <c r="L265" s="11" t="n">
        <f aca="false">I265/N265</f>
        <v>0.62416359021689</v>
      </c>
      <c r="M265" s="4" t="n">
        <f aca="false">INDEX('Lok Sabha seats'!$E:$E,MATCH(D265,'Lok Sabha seats'!$A:$A,0))</f>
        <v>0.0248817410026061</v>
      </c>
      <c r="N265" s="9" t="n">
        <v>242704</v>
      </c>
      <c r="O265" s="15"/>
      <c r="P265" s="10" t="n">
        <f aca="false">IF(O265&lt;&gt;"",O265,ROUND(N265*M265/(1+M265),0))</f>
        <v>5892</v>
      </c>
      <c r="Q265" s="16" t="n">
        <f aca="false">P265/J265</f>
        <v>2.08197879858657</v>
      </c>
      <c r="R265" s="2" t="str">
        <f aca="false">IF(P265&gt;J265,"Yes","No")</f>
        <v>Yes</v>
      </c>
      <c r="S265" s="2" t="str">
        <f aca="false">IF(P265*L265&gt;J265,"Yes","No")</f>
        <v>Yes</v>
      </c>
      <c r="T265" s="2" t="s">
        <v>171</v>
      </c>
    </row>
    <row r="266" customFormat="false" ht="15" hidden="false" customHeight="false" outlineLevel="0" collapsed="false">
      <c r="A266" s="2" t="n">
        <v>265</v>
      </c>
      <c r="B266" s="2" t="s">
        <v>361</v>
      </c>
      <c r="C266" s="2" t="s">
        <v>360</v>
      </c>
      <c r="D266" s="2" t="s">
        <v>153</v>
      </c>
      <c r="E266" s="2" t="s">
        <v>25</v>
      </c>
      <c r="F266" s="2" t="s">
        <v>18</v>
      </c>
      <c r="G266" s="9" t="n">
        <v>96555</v>
      </c>
      <c r="H266" s="9" t="n">
        <v>89688</v>
      </c>
      <c r="I266" s="9" t="n">
        <v>192532</v>
      </c>
      <c r="J266" s="10" t="n">
        <f aca="false">G266-H266</f>
        <v>6867</v>
      </c>
      <c r="K266" s="11" t="n">
        <f aca="false">J266/I266</f>
        <v>0.0356667982465253</v>
      </c>
      <c r="L266" s="11" t="n">
        <f aca="false">I266/N266</f>
        <v>0.697412937485963</v>
      </c>
      <c r="M266" s="4" t="n">
        <f aca="false">INDEX('Lok Sabha seats'!$E:$E,MATCH(D266,'Lok Sabha seats'!$A:$A,0))</f>
        <v>0.0227289323036862</v>
      </c>
      <c r="N266" s="9" t="n">
        <v>276066</v>
      </c>
      <c r="O266" s="15"/>
      <c r="P266" s="10" t="n">
        <f aca="false">IF(O266&lt;&gt;"",O266,ROUND(N266*M266/(1+M266),0))</f>
        <v>6135</v>
      </c>
      <c r="Q266" s="16" t="n">
        <f aca="false">P266/J266</f>
        <v>0.893403232852774</v>
      </c>
      <c r="R266" s="2" t="str">
        <f aca="false">IF(P266&gt;J266,"Yes","No")</f>
        <v>No</v>
      </c>
      <c r="S266" s="2" t="str">
        <f aca="false">IF(P266*L266&gt;J266,"Yes","No")</f>
        <v>No</v>
      </c>
      <c r="T266" s="2" t="s">
        <v>171</v>
      </c>
    </row>
    <row r="267" customFormat="false" ht="15" hidden="false" customHeight="false" outlineLevel="0" collapsed="false">
      <c r="A267" s="2" t="n">
        <v>266</v>
      </c>
      <c r="B267" s="2" t="s">
        <v>360</v>
      </c>
      <c r="C267" s="2" t="s">
        <v>360</v>
      </c>
      <c r="D267" s="2" t="s">
        <v>153</v>
      </c>
      <c r="E267" s="2" t="s">
        <v>27</v>
      </c>
      <c r="F267" s="2" t="s">
        <v>18</v>
      </c>
      <c r="G267" s="9" t="n">
        <v>111335</v>
      </c>
      <c r="H267" s="9" t="n">
        <v>69745</v>
      </c>
      <c r="I267" s="9" t="n">
        <v>187602</v>
      </c>
      <c r="J267" s="10" t="n">
        <f aca="false">G267-H267</f>
        <v>41590</v>
      </c>
      <c r="K267" s="11" t="n">
        <f aca="false">J267/I267</f>
        <v>0.22169273248686</v>
      </c>
      <c r="L267" s="11" t="n">
        <f aca="false">I267/N267</f>
        <v>0.644191181267834</v>
      </c>
      <c r="M267" s="4" t="n">
        <f aca="false">INDEX('Lok Sabha seats'!$E:$E,MATCH(D267,'Lok Sabha seats'!$A:$A,0))</f>
        <v>0.0227289323036862</v>
      </c>
      <c r="N267" s="9" t="n">
        <v>291221</v>
      </c>
      <c r="O267" s="15"/>
      <c r="P267" s="10" t="n">
        <f aca="false">IF(O267&lt;&gt;"",O267,ROUND(N267*M267/(1+M267),0))</f>
        <v>6472</v>
      </c>
      <c r="Q267" s="16" t="n">
        <f aca="false">P267/J267</f>
        <v>0.155614330367877</v>
      </c>
      <c r="R267" s="2" t="str">
        <f aca="false">IF(P267&gt;J267,"Yes","No")</f>
        <v>No</v>
      </c>
      <c r="S267" s="2" t="str">
        <f aca="false">IF(P267*L267&gt;J267,"Yes","No")</f>
        <v>No</v>
      </c>
      <c r="T267" s="2" t="s">
        <v>171</v>
      </c>
    </row>
    <row r="268" customFormat="false" ht="15" hidden="false" customHeight="false" outlineLevel="0" collapsed="false">
      <c r="A268" s="2" t="n">
        <v>267</v>
      </c>
      <c r="B268" s="2" t="s">
        <v>362</v>
      </c>
      <c r="C268" s="2" t="s">
        <v>360</v>
      </c>
      <c r="D268" s="2" t="s">
        <v>153</v>
      </c>
      <c r="E268" s="2" t="s">
        <v>27</v>
      </c>
      <c r="F268" s="2" t="s">
        <v>18</v>
      </c>
      <c r="G268" s="9" t="n">
        <v>80256</v>
      </c>
      <c r="H268" s="9" t="n">
        <v>60579</v>
      </c>
      <c r="I268" s="9" t="n">
        <v>154615</v>
      </c>
      <c r="J268" s="10" t="n">
        <f aca="false">G268-H268</f>
        <v>19677</v>
      </c>
      <c r="K268" s="11" t="n">
        <f aca="false">J268/I268</f>
        <v>0.127264495682825</v>
      </c>
      <c r="L268" s="11" t="n">
        <f aca="false">I268/N268</f>
        <v>0.648528369314917</v>
      </c>
      <c r="M268" s="4" t="n">
        <f aca="false">INDEX('Lok Sabha seats'!$E:$E,MATCH(D268,'Lok Sabha seats'!$A:$A,0))</f>
        <v>0.0227289323036862</v>
      </c>
      <c r="N268" s="9" t="n">
        <v>238409</v>
      </c>
      <c r="O268" s="15"/>
      <c r="P268" s="10" t="n">
        <f aca="false">IF(O268&lt;&gt;"",O268,ROUND(N268*M268/(1+M268),0))</f>
        <v>5298</v>
      </c>
      <c r="Q268" s="16" t="n">
        <f aca="false">P268/J268</f>
        <v>0.269248361030645</v>
      </c>
      <c r="R268" s="2" t="str">
        <f aca="false">IF(P268&gt;J268,"Yes","No")</f>
        <v>No</v>
      </c>
      <c r="S268" s="2" t="str">
        <f aca="false">IF(P268*L268&gt;J268,"Yes","No")</f>
        <v>No</v>
      </c>
      <c r="T268" s="2" t="s">
        <v>171</v>
      </c>
    </row>
    <row r="269" customFormat="false" ht="15" hidden="false" customHeight="false" outlineLevel="0" collapsed="false">
      <c r="A269" s="2" t="n">
        <v>268</v>
      </c>
      <c r="B269" s="2" t="s">
        <v>363</v>
      </c>
      <c r="C269" s="2" t="s">
        <v>364</v>
      </c>
      <c r="D269" s="2" t="s">
        <v>153</v>
      </c>
      <c r="E269" s="2" t="s">
        <v>17</v>
      </c>
      <c r="F269" s="2" t="s">
        <v>18</v>
      </c>
      <c r="G269" s="9" t="n">
        <v>108369</v>
      </c>
      <c r="H269" s="9" t="n">
        <v>50362</v>
      </c>
      <c r="I269" s="9" t="n">
        <v>163129</v>
      </c>
      <c r="J269" s="10" t="n">
        <f aca="false">G269-H269</f>
        <v>58007</v>
      </c>
      <c r="K269" s="11" t="n">
        <f aca="false">J269/I269</f>
        <v>0.355589747990854</v>
      </c>
      <c r="L269" s="11" t="n">
        <f aca="false">I269/N269</f>
        <v>0.703931129714335</v>
      </c>
      <c r="M269" s="4" t="n">
        <f aca="false">INDEX('Lok Sabha seats'!$E:$E,MATCH(D269,'Lok Sabha seats'!$A:$A,0))</f>
        <v>0.0227289323036862</v>
      </c>
      <c r="N269" s="9" t="n">
        <v>231740</v>
      </c>
      <c r="O269" s="15"/>
      <c r="P269" s="10" t="n">
        <f aca="false">IF(O269&lt;&gt;"",O269,ROUND(N269*M269/(1+M269),0))</f>
        <v>5150</v>
      </c>
      <c r="Q269" s="16" t="n">
        <f aca="false">P269/J269</f>
        <v>0.0887823883324426</v>
      </c>
      <c r="R269" s="2" t="str">
        <f aca="false">IF(P269&gt;J269,"Yes","No")</f>
        <v>No</v>
      </c>
      <c r="S269" s="2" t="str">
        <f aca="false">IF(P269*L269&gt;J269,"Yes","No")</f>
        <v>No</v>
      </c>
      <c r="T269" s="2" t="s">
        <v>171</v>
      </c>
    </row>
    <row r="270" customFormat="false" ht="15" hidden="false" customHeight="false" outlineLevel="0" collapsed="false">
      <c r="A270" s="2" t="n">
        <v>269</v>
      </c>
      <c r="B270" s="2" t="s">
        <v>365</v>
      </c>
      <c r="C270" s="2" t="s">
        <v>364</v>
      </c>
      <c r="D270" s="2" t="s">
        <v>153</v>
      </c>
      <c r="E270" s="2" t="s">
        <v>27</v>
      </c>
      <c r="F270" s="2" t="s">
        <v>18</v>
      </c>
      <c r="G270" s="9" t="n">
        <v>81659</v>
      </c>
      <c r="H270" s="9" t="n">
        <v>73483</v>
      </c>
      <c r="I270" s="9" t="n">
        <v>158847</v>
      </c>
      <c r="J270" s="10" t="n">
        <f aca="false">G270-H270</f>
        <v>8176</v>
      </c>
      <c r="K270" s="11" t="n">
        <f aca="false">J270/I270</f>
        <v>0.0514709122614843</v>
      </c>
      <c r="L270" s="11" t="n">
        <f aca="false">I270/N270</f>
        <v>0.731386921808956</v>
      </c>
      <c r="M270" s="4" t="n">
        <f aca="false">INDEX('Lok Sabha seats'!$E:$E,MATCH(D270,'Lok Sabha seats'!$A:$A,0))</f>
        <v>0.0227289323036862</v>
      </c>
      <c r="N270" s="9" t="n">
        <v>217186</v>
      </c>
      <c r="O270" s="15"/>
      <c r="P270" s="10" t="n">
        <f aca="false">IF(O270&lt;&gt;"",O270,ROUND(N270*M270/(1+M270),0))</f>
        <v>4827</v>
      </c>
      <c r="Q270" s="16" t="n">
        <f aca="false">P270/J270</f>
        <v>0.590386497064579</v>
      </c>
      <c r="R270" s="2" t="str">
        <f aca="false">IF(P270&gt;J270,"Yes","No")</f>
        <v>No</v>
      </c>
      <c r="S270" s="2" t="str">
        <f aca="false">IF(P270*L270&gt;J270,"Yes","No")</f>
        <v>No</v>
      </c>
      <c r="T270" s="2" t="s">
        <v>171</v>
      </c>
    </row>
    <row r="271" customFormat="false" ht="15" hidden="false" customHeight="false" outlineLevel="0" collapsed="false">
      <c r="A271" s="2" t="n">
        <v>270</v>
      </c>
      <c r="B271" s="2" t="s">
        <v>366</v>
      </c>
      <c r="C271" s="2" t="s">
        <v>364</v>
      </c>
      <c r="D271" s="2" t="s">
        <v>153</v>
      </c>
      <c r="E271" s="2" t="s">
        <v>27</v>
      </c>
      <c r="F271" s="2" t="s">
        <v>18</v>
      </c>
      <c r="G271" s="9" t="n">
        <v>81008</v>
      </c>
      <c r="H271" s="9" t="n">
        <v>41109</v>
      </c>
      <c r="I271" s="9" t="n">
        <v>166090</v>
      </c>
      <c r="J271" s="10" t="n">
        <f aca="false">G271-H271</f>
        <v>39899</v>
      </c>
      <c r="K271" s="11" t="n">
        <f aca="false">J271/I271</f>
        <v>0.240225179119754</v>
      </c>
      <c r="L271" s="11" t="n">
        <f aca="false">I271/N271</f>
        <v>0.722124155442127</v>
      </c>
      <c r="M271" s="4" t="n">
        <f aca="false">INDEX('Lok Sabha seats'!$E:$E,MATCH(D271,'Lok Sabha seats'!$A:$A,0))</f>
        <v>0.0227289323036862</v>
      </c>
      <c r="N271" s="9" t="n">
        <v>230002</v>
      </c>
      <c r="O271" s="15"/>
      <c r="P271" s="10" t="n">
        <f aca="false">IF(O271&lt;&gt;"",O271,ROUND(N271*M271/(1+M271),0))</f>
        <v>5112</v>
      </c>
      <c r="Q271" s="16" t="n">
        <f aca="false">P271/J271</f>
        <v>0.128123511867465</v>
      </c>
      <c r="R271" s="2" t="str">
        <f aca="false">IF(P271&gt;J271,"Yes","No")</f>
        <v>No</v>
      </c>
      <c r="S271" s="2" t="str">
        <f aca="false">IF(P271*L271&gt;J271,"Yes","No")</f>
        <v>No</v>
      </c>
      <c r="T271" s="2" t="s">
        <v>171</v>
      </c>
    </row>
    <row r="272" customFormat="false" ht="15" hidden="false" customHeight="false" outlineLevel="0" collapsed="false">
      <c r="A272" s="2" t="n">
        <v>271</v>
      </c>
      <c r="B272" s="2" t="s">
        <v>367</v>
      </c>
      <c r="C272" s="2" t="s">
        <v>46</v>
      </c>
      <c r="D272" s="2" t="s">
        <v>46</v>
      </c>
      <c r="E272" s="2" t="s">
        <v>79</v>
      </c>
      <c r="F272" s="2" t="s">
        <v>13</v>
      </c>
      <c r="G272" s="9" t="n">
        <v>84254</v>
      </c>
      <c r="H272" s="9" t="n">
        <v>60120</v>
      </c>
      <c r="I272" s="9" t="n">
        <v>248064</v>
      </c>
      <c r="J272" s="10" t="n">
        <f aca="false">G272-H272</f>
        <v>24134</v>
      </c>
      <c r="K272" s="11" t="n">
        <f aca="false">J272/I272</f>
        <v>0.0972894091847265</v>
      </c>
      <c r="L272" s="11" t="n">
        <f aca="false">I272/N272</f>
        <v>0.75703125</v>
      </c>
      <c r="M272" s="4" t="n">
        <f aca="false">INDEX('Lok Sabha seats'!$E:$E,MATCH(D272,'Lok Sabha seats'!$A:$A,0))</f>
        <v>0.0407761194338162</v>
      </c>
      <c r="N272" s="9" t="n">
        <v>327680</v>
      </c>
      <c r="O272" s="15"/>
      <c r="P272" s="10" t="n">
        <f aca="false">IF(O272&lt;&gt;"",O272,ROUND(N272*M272/(1+M272),0))</f>
        <v>12838</v>
      </c>
      <c r="Q272" s="16" t="n">
        <f aca="false">P272/J272</f>
        <v>0.531946631308527</v>
      </c>
      <c r="R272" s="2" t="str">
        <f aca="false">IF(P272&gt;J272,"Yes","No")</f>
        <v>No</v>
      </c>
      <c r="S272" s="2" t="str">
        <f aca="false">IF(P272*L272&gt;J272,"Yes","No")</f>
        <v>No</v>
      </c>
      <c r="T272" s="2" t="s">
        <v>171</v>
      </c>
    </row>
    <row r="273" customFormat="false" ht="15" hidden="false" customHeight="false" outlineLevel="0" collapsed="false">
      <c r="A273" s="2" t="n">
        <v>272</v>
      </c>
      <c r="B273" s="2" t="s">
        <v>368</v>
      </c>
      <c r="C273" s="2" t="s">
        <v>46</v>
      </c>
      <c r="D273" s="2" t="s">
        <v>46</v>
      </c>
      <c r="E273" s="2" t="s">
        <v>27</v>
      </c>
      <c r="F273" s="2" t="s">
        <v>18</v>
      </c>
      <c r="G273" s="9" t="n">
        <v>144359</v>
      </c>
      <c r="H273" s="9" t="n">
        <v>106100</v>
      </c>
      <c r="I273" s="9" t="n">
        <v>273061</v>
      </c>
      <c r="J273" s="10" t="n">
        <f aca="false">G273-H273</f>
        <v>38259</v>
      </c>
      <c r="K273" s="11" t="n">
        <f aca="false">J273/I273</f>
        <v>0.140111550166446</v>
      </c>
      <c r="L273" s="11" t="n">
        <f aca="false">I273/N273</f>
        <v>0.792809402419125</v>
      </c>
      <c r="M273" s="4" t="n">
        <f aca="false">INDEX('Lok Sabha seats'!$E:$E,MATCH(D273,'Lok Sabha seats'!$A:$A,0))</f>
        <v>0.0407761194338162</v>
      </c>
      <c r="N273" s="9" t="n">
        <v>344422</v>
      </c>
      <c r="O273" s="15"/>
      <c r="P273" s="10" t="n">
        <f aca="false">IF(O273&lt;&gt;"",O273,ROUND(N273*M273/(1+M273),0))</f>
        <v>13494</v>
      </c>
      <c r="Q273" s="16" t="n">
        <f aca="false">P273/J273</f>
        <v>0.352701325178389</v>
      </c>
      <c r="R273" s="2" t="str">
        <f aca="false">IF(P273&gt;J273,"Yes","No")</f>
        <v>No</v>
      </c>
      <c r="S273" s="2" t="str">
        <f aca="false">IF(P273*L273&gt;J273,"Yes","No")</f>
        <v>No</v>
      </c>
      <c r="T273" s="2" t="s">
        <v>171</v>
      </c>
    </row>
    <row r="274" customFormat="false" ht="15" hidden="false" customHeight="false" outlineLevel="0" collapsed="false">
      <c r="A274" s="2" t="n">
        <v>273</v>
      </c>
      <c r="B274" s="2" t="s">
        <v>122</v>
      </c>
      <c r="C274" s="2" t="s">
        <v>46</v>
      </c>
      <c r="D274" s="2" t="s">
        <v>46</v>
      </c>
      <c r="E274" s="2" t="s">
        <v>25</v>
      </c>
      <c r="F274" s="2" t="s">
        <v>18</v>
      </c>
      <c r="G274" s="9" t="n">
        <v>145269</v>
      </c>
      <c r="H274" s="9" t="n">
        <v>133688</v>
      </c>
      <c r="I274" s="9" t="n">
        <v>286816</v>
      </c>
      <c r="J274" s="10" t="n">
        <f aca="false">G274-H274</f>
        <v>11581</v>
      </c>
      <c r="K274" s="11" t="n">
        <f aca="false">J274/I274</f>
        <v>0.0403778031908959</v>
      </c>
      <c r="L274" s="11" t="n">
        <f aca="false">I274/N274</f>
        <v>0.834563188156149</v>
      </c>
      <c r="M274" s="4" t="n">
        <f aca="false">INDEX('Lok Sabha seats'!$E:$E,MATCH(D274,'Lok Sabha seats'!$A:$A,0))</f>
        <v>0.0407761194338162</v>
      </c>
      <c r="N274" s="9" t="n">
        <v>343672</v>
      </c>
      <c r="O274" s="15"/>
      <c r="P274" s="10" t="n">
        <f aca="false">IF(O274&lt;&gt;"",O274,ROUND(N274*M274/(1+M274),0))</f>
        <v>13465</v>
      </c>
      <c r="Q274" s="16" t="n">
        <f aca="false">P274/J274</f>
        <v>1.16268025213712</v>
      </c>
      <c r="R274" s="2" t="str">
        <f aca="false">IF(P274&gt;J274,"Yes","No")</f>
        <v>Yes</v>
      </c>
      <c r="S274" s="2" t="str">
        <f aca="false">IF(P274*L274&gt;J274,"Yes","No")</f>
        <v>No</v>
      </c>
      <c r="T274" s="2" t="s">
        <v>171</v>
      </c>
    </row>
    <row r="275" customFormat="false" ht="15" hidden="false" customHeight="false" outlineLevel="0" collapsed="false">
      <c r="A275" s="2" t="n">
        <v>274</v>
      </c>
      <c r="B275" s="2" t="s">
        <v>369</v>
      </c>
      <c r="C275" s="2" t="s">
        <v>46</v>
      </c>
      <c r="D275" s="2" t="s">
        <v>46</v>
      </c>
      <c r="E275" s="2" t="s">
        <v>17</v>
      </c>
      <c r="F275" s="2" t="s">
        <v>18</v>
      </c>
      <c r="G275" s="9" t="n">
        <v>148892</v>
      </c>
      <c r="H275" s="9" t="n">
        <v>131262</v>
      </c>
      <c r="I275" s="9" t="n">
        <v>284301</v>
      </c>
      <c r="J275" s="10" t="n">
        <f aca="false">G275-H275</f>
        <v>17630</v>
      </c>
      <c r="K275" s="11" t="n">
        <f aca="false">J275/I275</f>
        <v>0.0620117410772386</v>
      </c>
      <c r="L275" s="11" t="n">
        <f aca="false">I275/N275</f>
        <v>0.76284734520398</v>
      </c>
      <c r="M275" s="4" t="n">
        <f aca="false">INDEX('Lok Sabha seats'!$E:$E,MATCH(D275,'Lok Sabha seats'!$A:$A,0))</f>
        <v>0.0407761194338162</v>
      </c>
      <c r="N275" s="9" t="n">
        <v>372684</v>
      </c>
      <c r="O275" s="15"/>
      <c r="P275" s="10" t="n">
        <f aca="false">IF(O275&lt;&gt;"",O275,ROUND(N275*M275/(1+M275),0))</f>
        <v>14601</v>
      </c>
      <c r="Q275" s="16" t="n">
        <f aca="false">P275/J275</f>
        <v>0.828190584231424</v>
      </c>
      <c r="R275" s="2" t="str">
        <f aca="false">IF(P275&gt;J275,"Yes","No")</f>
        <v>No</v>
      </c>
      <c r="S275" s="2" t="str">
        <f aca="false">IF(P275*L275&gt;J275,"Yes","No")</f>
        <v>No</v>
      </c>
      <c r="T275" s="2" t="s">
        <v>171</v>
      </c>
    </row>
    <row r="276" customFormat="false" ht="15" hidden="false" customHeight="false" outlineLevel="0" collapsed="false">
      <c r="A276" s="2" t="n">
        <v>275</v>
      </c>
      <c r="B276" s="2" t="s">
        <v>45</v>
      </c>
      <c r="C276" s="2" t="s">
        <v>46</v>
      </c>
      <c r="D276" s="2" t="s">
        <v>46</v>
      </c>
      <c r="E276" s="2" t="s">
        <v>27</v>
      </c>
      <c r="F276" s="2" t="s">
        <v>18</v>
      </c>
      <c r="G276" s="9" t="n">
        <v>134528</v>
      </c>
      <c r="H276" s="9" t="n">
        <v>132552</v>
      </c>
      <c r="I276" s="9" t="n">
        <v>278799</v>
      </c>
      <c r="J276" s="10" t="n">
        <f aca="false">G276-H276</f>
        <v>1976</v>
      </c>
      <c r="K276" s="11" t="n">
        <f aca="false">J276/I276</f>
        <v>0.00708754335560744</v>
      </c>
      <c r="L276" s="11" t="n">
        <f aca="false">I276/N276</f>
        <v>0.857418325075885</v>
      </c>
      <c r="M276" s="4" t="n">
        <f aca="false">INDEX('Lok Sabha seats'!$E:$E,MATCH(D276,'Lok Sabha seats'!$A:$A,0))</f>
        <v>0.0407761194338162</v>
      </c>
      <c r="N276" s="9" t="n">
        <v>325161</v>
      </c>
      <c r="O276" s="15"/>
      <c r="P276" s="10" t="n">
        <f aca="false">IF(O276&lt;&gt;"",O276,ROUND(N276*M276/(1+M276),0))</f>
        <v>12739</v>
      </c>
      <c r="Q276" s="16" t="n">
        <f aca="false">P276/J276</f>
        <v>6.44686234817814</v>
      </c>
      <c r="R276" s="2" t="str">
        <f aca="false">IF(P276&gt;J276,"Yes","No")</f>
        <v>Yes</v>
      </c>
      <c r="S276" s="2" t="str">
        <f aca="false">IF(P276*L276&gt;J276,"Yes","No")</f>
        <v>Yes</v>
      </c>
      <c r="T276" s="2" t="s">
        <v>171</v>
      </c>
    </row>
    <row r="277" customFormat="false" ht="15" hidden="false" customHeight="false" outlineLevel="0" collapsed="false">
      <c r="A277" s="2" t="n">
        <v>276</v>
      </c>
      <c r="B277" s="2" t="s">
        <v>370</v>
      </c>
      <c r="C277" s="2" t="s">
        <v>46</v>
      </c>
      <c r="D277" s="2" t="s">
        <v>46</v>
      </c>
      <c r="E277" s="2" t="s">
        <v>27</v>
      </c>
      <c r="F277" s="2" t="s">
        <v>18</v>
      </c>
      <c r="G277" s="9" t="n">
        <v>111085</v>
      </c>
      <c r="H277" s="9" t="n">
        <v>81522</v>
      </c>
      <c r="I277" s="9" t="n">
        <v>199066</v>
      </c>
      <c r="J277" s="10" t="n">
        <f aca="false">G277-H277</f>
        <v>29563</v>
      </c>
      <c r="K277" s="11" t="n">
        <f aca="false">J277/I277</f>
        <v>0.148508534857786</v>
      </c>
      <c r="L277" s="11" t="n">
        <f aca="false">I277/N277</f>
        <v>0.659720358053045</v>
      </c>
      <c r="M277" s="4" t="n">
        <f aca="false">INDEX('Lok Sabha seats'!$E:$E,MATCH(D277,'Lok Sabha seats'!$A:$A,0))</f>
        <v>0.0407761194338162</v>
      </c>
      <c r="N277" s="9" t="n">
        <v>301743</v>
      </c>
      <c r="O277" s="15"/>
      <c r="P277" s="10" t="n">
        <f aca="false">IF(O277&lt;&gt;"",O277,ROUND(N277*M277/(1+M277),0))</f>
        <v>11822</v>
      </c>
      <c r="Q277" s="16" t="n">
        <f aca="false">P277/J277</f>
        <v>0.399891756587626</v>
      </c>
      <c r="R277" s="2" t="str">
        <f aca="false">IF(P277&gt;J277,"Yes","No")</f>
        <v>No</v>
      </c>
      <c r="S277" s="2" t="str">
        <f aca="false">IF(P277*L277&gt;J277,"Yes","No")</f>
        <v>No</v>
      </c>
      <c r="T277" s="2" t="s">
        <v>171</v>
      </c>
    </row>
    <row r="278" customFormat="false" ht="15" hidden="false" customHeight="false" outlineLevel="0" collapsed="false">
      <c r="A278" s="2" t="n">
        <v>277</v>
      </c>
      <c r="B278" s="2" t="s">
        <v>371</v>
      </c>
      <c r="C278" s="2" t="s">
        <v>46</v>
      </c>
      <c r="D278" s="2" t="s">
        <v>148</v>
      </c>
      <c r="E278" s="2" t="s">
        <v>372</v>
      </c>
      <c r="F278" s="2" t="s">
        <v>13</v>
      </c>
      <c r="G278" s="9" t="n">
        <v>136064</v>
      </c>
      <c r="H278" s="9" t="n">
        <v>100011</v>
      </c>
      <c r="I278" s="9" t="n">
        <v>244352</v>
      </c>
      <c r="J278" s="10" t="n">
        <f aca="false">G278-H278</f>
        <v>36053</v>
      </c>
      <c r="K278" s="11" t="n">
        <f aca="false">J278/I278</f>
        <v>0.147545344421163</v>
      </c>
      <c r="L278" s="11" t="n">
        <f aca="false">I278/N278</f>
        <v>0.797894503111877</v>
      </c>
      <c r="M278" s="4" t="n">
        <f aca="false">INDEX('Lok Sabha seats'!$E:$E,MATCH(D278,'Lok Sabha seats'!$A:$A,0))</f>
        <v>0.0349048133223317</v>
      </c>
      <c r="N278" s="9" t="n">
        <v>306246</v>
      </c>
      <c r="O278" s="15"/>
      <c r="P278" s="10" t="n">
        <f aca="false">IF(O278&lt;&gt;"",O278,ROUND(N278*M278/(1+M278),0))</f>
        <v>10329</v>
      </c>
      <c r="Q278" s="16" t="n">
        <f aca="false">P278/J278</f>
        <v>0.286494882534047</v>
      </c>
      <c r="R278" s="2" t="str">
        <f aca="false">IF(P278&gt;J278,"Yes","No")</f>
        <v>No</v>
      </c>
      <c r="S278" s="2" t="str">
        <f aca="false">IF(P278*L278&gt;J278,"Yes","No")</f>
        <v>No</v>
      </c>
      <c r="T278" s="2" t="s">
        <v>171</v>
      </c>
    </row>
    <row r="279" customFormat="false" ht="15" hidden="false" customHeight="false" outlineLevel="0" collapsed="false">
      <c r="A279" s="2" t="n">
        <v>278</v>
      </c>
      <c r="B279" s="2" t="s">
        <v>373</v>
      </c>
      <c r="C279" s="2" t="s">
        <v>46</v>
      </c>
      <c r="D279" s="2" t="s">
        <v>148</v>
      </c>
      <c r="E279" s="2" t="s">
        <v>372</v>
      </c>
      <c r="F279" s="2" t="s">
        <v>13</v>
      </c>
      <c r="G279" s="9" t="n">
        <v>134191</v>
      </c>
      <c r="H279" s="9" t="n">
        <v>87942</v>
      </c>
      <c r="I279" s="9" t="n">
        <v>262721</v>
      </c>
      <c r="J279" s="10" t="n">
        <f aca="false">G279-H279</f>
        <v>46249</v>
      </c>
      <c r="K279" s="11" t="n">
        <f aca="false">J279/I279</f>
        <v>0.176038459049714</v>
      </c>
      <c r="L279" s="11" t="n">
        <f aca="false">I279/N279</f>
        <v>0.768898254240016</v>
      </c>
      <c r="M279" s="4" t="n">
        <f aca="false">INDEX('Lok Sabha seats'!$E:$E,MATCH(D279,'Lok Sabha seats'!$A:$A,0))</f>
        <v>0.0349048133223317</v>
      </c>
      <c r="N279" s="9" t="n">
        <v>341685</v>
      </c>
      <c r="O279" s="15"/>
      <c r="P279" s="10" t="n">
        <f aca="false">IF(O279&lt;&gt;"",O279,ROUND(N279*M279/(1+M279),0))</f>
        <v>11524</v>
      </c>
      <c r="Q279" s="16" t="n">
        <f aca="false">P279/J279</f>
        <v>0.249172955090921</v>
      </c>
      <c r="R279" s="2" t="str">
        <f aca="false">IF(P279&gt;J279,"Yes","No")</f>
        <v>No</v>
      </c>
      <c r="S279" s="2" t="str">
        <f aca="false">IF(P279*L279&gt;J279,"Yes","No")</f>
        <v>No</v>
      </c>
      <c r="T279" s="2" t="s">
        <v>171</v>
      </c>
    </row>
    <row r="280" customFormat="false" ht="15" hidden="false" customHeight="false" outlineLevel="0" collapsed="false">
      <c r="A280" s="2" t="n">
        <v>279</v>
      </c>
      <c r="B280" s="2" t="s">
        <v>374</v>
      </c>
      <c r="C280" s="2" t="s">
        <v>46</v>
      </c>
      <c r="D280" s="2" t="s">
        <v>148</v>
      </c>
      <c r="E280" s="2" t="s">
        <v>17</v>
      </c>
      <c r="F280" s="2" t="s">
        <v>18</v>
      </c>
      <c r="G280" s="9" t="n">
        <v>131919</v>
      </c>
      <c r="H280" s="9" t="n">
        <v>75108</v>
      </c>
      <c r="I280" s="9" t="n">
        <v>218897</v>
      </c>
      <c r="J280" s="10" t="n">
        <f aca="false">G280-H280</f>
        <v>56811</v>
      </c>
      <c r="K280" s="11" t="n">
        <f aca="false">J280/I280</f>
        <v>0.259533022380389</v>
      </c>
      <c r="L280" s="11" t="n">
        <f aca="false">I280/N280</f>
        <v>0.700102985952972</v>
      </c>
      <c r="M280" s="4" t="n">
        <f aca="false">INDEX('Lok Sabha seats'!$E:$E,MATCH(D280,'Lok Sabha seats'!$A:$A,0))</f>
        <v>0.0349048133223317</v>
      </c>
      <c r="N280" s="9" t="n">
        <v>312664</v>
      </c>
      <c r="O280" s="15"/>
      <c r="P280" s="10" t="n">
        <f aca="false">IF(O280&lt;&gt;"",O280,ROUND(N280*M280/(1+M280),0))</f>
        <v>10545</v>
      </c>
      <c r="Q280" s="16" t="n">
        <f aca="false">P280/J280</f>
        <v>0.185615461794371</v>
      </c>
      <c r="R280" s="2" t="str">
        <f aca="false">IF(P280&gt;J280,"Yes","No")</f>
        <v>No</v>
      </c>
      <c r="S280" s="2" t="str">
        <f aca="false">IF(P280*L280&gt;J280,"Yes","No")</f>
        <v>No</v>
      </c>
      <c r="T280" s="2" t="s">
        <v>171</v>
      </c>
    </row>
    <row r="281" customFormat="false" ht="15" hidden="false" customHeight="false" outlineLevel="0" collapsed="false">
      <c r="A281" s="2" t="n">
        <v>280</v>
      </c>
      <c r="B281" s="2" t="s">
        <v>375</v>
      </c>
      <c r="C281" s="2" t="s">
        <v>46</v>
      </c>
      <c r="D281" s="2" t="s">
        <v>148</v>
      </c>
      <c r="E281" s="2" t="s">
        <v>376</v>
      </c>
      <c r="F281" s="2" t="s">
        <v>13</v>
      </c>
      <c r="G281" s="9" t="n">
        <v>134630</v>
      </c>
      <c r="H281" s="9" t="n">
        <v>93814</v>
      </c>
      <c r="I281" s="9" t="n">
        <v>259133</v>
      </c>
      <c r="J281" s="10" t="n">
        <f aca="false">G281-H281</f>
        <v>40816</v>
      </c>
      <c r="K281" s="11" t="n">
        <f aca="false">J281/I281</f>
        <v>0.157509850154168</v>
      </c>
      <c r="L281" s="11" t="n">
        <f aca="false">I281/N281</f>
        <v>0.787300883208108</v>
      </c>
      <c r="M281" s="4" t="n">
        <f aca="false">INDEX('Lok Sabha seats'!$E:$E,MATCH(D281,'Lok Sabha seats'!$A:$A,0))</f>
        <v>0.0349048133223317</v>
      </c>
      <c r="N281" s="9" t="n">
        <v>329141</v>
      </c>
      <c r="O281" s="15"/>
      <c r="P281" s="10" t="n">
        <f aca="false">IF(O281&lt;&gt;"",O281,ROUND(N281*M281/(1+M281),0))</f>
        <v>11101</v>
      </c>
      <c r="Q281" s="16" t="n">
        <f aca="false">P281/J281</f>
        <v>0.271976675813407</v>
      </c>
      <c r="R281" s="2" t="str">
        <f aca="false">IF(P281&gt;J281,"Yes","No")</f>
        <v>No</v>
      </c>
      <c r="S281" s="2" t="str">
        <f aca="false">IF(P281*L281&gt;J281,"Yes","No")</f>
        <v>No</v>
      </c>
      <c r="T281" s="2" t="s">
        <v>171</v>
      </c>
    </row>
    <row r="282" customFormat="false" ht="15" hidden="false" customHeight="false" outlineLevel="0" collapsed="false">
      <c r="A282" s="2" t="n">
        <v>281</v>
      </c>
      <c r="B282" s="2" t="s">
        <v>377</v>
      </c>
      <c r="C282" s="2" t="s">
        <v>155</v>
      </c>
      <c r="D282" s="2" t="s">
        <v>155</v>
      </c>
      <c r="E282" s="2" t="s">
        <v>17</v>
      </c>
      <c r="F282" s="2" t="s">
        <v>18</v>
      </c>
      <c r="G282" s="9" t="n">
        <v>129766</v>
      </c>
      <c r="H282" s="9" t="n">
        <v>84571</v>
      </c>
      <c r="I282" s="9" t="n">
        <v>228875</v>
      </c>
      <c r="J282" s="10" t="n">
        <f aca="false">G282-H282</f>
        <v>45195</v>
      </c>
      <c r="K282" s="11" t="n">
        <f aca="false">J282/I282</f>
        <v>0.197465865647187</v>
      </c>
      <c r="L282" s="11" t="n">
        <f aca="false">I282/N282</f>
        <v>0.665574218613686</v>
      </c>
      <c r="M282" s="4" t="n">
        <f aca="false">INDEX('Lok Sabha seats'!$E:$E,MATCH(D282,'Lok Sabha seats'!$A:$A,0))</f>
        <v>0.0428348751240516</v>
      </c>
      <c r="N282" s="9" t="n">
        <v>343876</v>
      </c>
      <c r="O282" s="15"/>
      <c r="P282" s="10" t="n">
        <f aca="false">IF(O282&lt;&gt;"",O282,ROUND(N282*M282/(1+M282),0))</f>
        <v>14125</v>
      </c>
      <c r="Q282" s="16" t="n">
        <f aca="false">P282/J282</f>
        <v>0.312534572408452</v>
      </c>
      <c r="R282" s="2" t="str">
        <f aca="false">IF(P282&gt;J282,"Yes","No")</f>
        <v>No</v>
      </c>
      <c r="S282" s="2" t="str">
        <f aca="false">IF(P282*L282&gt;J282,"Yes","No")</f>
        <v>No</v>
      </c>
      <c r="T282" s="2" t="s">
        <v>171</v>
      </c>
    </row>
    <row r="283" customFormat="false" ht="15" hidden="false" customHeight="false" outlineLevel="0" collapsed="false">
      <c r="A283" s="2" t="n">
        <v>282</v>
      </c>
      <c r="B283" s="2" t="s">
        <v>155</v>
      </c>
      <c r="C283" s="2" t="s">
        <v>155</v>
      </c>
      <c r="D283" s="2" t="s">
        <v>155</v>
      </c>
      <c r="E283" s="2" t="s">
        <v>17</v>
      </c>
      <c r="F283" s="2" t="s">
        <v>18</v>
      </c>
      <c r="G283" s="9" t="n">
        <v>112498</v>
      </c>
      <c r="H283" s="9" t="n">
        <v>76363</v>
      </c>
      <c r="I283" s="9" t="n">
        <v>226065</v>
      </c>
      <c r="J283" s="10" t="n">
        <f aca="false">G283-H283</f>
        <v>36135</v>
      </c>
      <c r="K283" s="11" t="n">
        <f aca="false">J283/I283</f>
        <v>0.159843407869418</v>
      </c>
      <c r="L283" s="11" t="n">
        <f aca="false">I283/N283</f>
        <v>0.634283549844281</v>
      </c>
      <c r="M283" s="4" t="n">
        <f aca="false">INDEX('Lok Sabha seats'!$E:$E,MATCH(D283,'Lok Sabha seats'!$A:$A,0))</f>
        <v>0.0428348751240516</v>
      </c>
      <c r="N283" s="9" t="n">
        <v>356410</v>
      </c>
      <c r="O283" s="15"/>
      <c r="P283" s="10" t="n">
        <f aca="false">IF(O283&lt;&gt;"",O283,ROUND(N283*M283/(1+M283),0))</f>
        <v>14640</v>
      </c>
      <c r="Q283" s="16" t="n">
        <f aca="false">P283/J283</f>
        <v>0.405147364051474</v>
      </c>
      <c r="R283" s="2" t="str">
        <f aca="false">IF(P283&gt;J283,"Yes","No")</f>
        <v>No</v>
      </c>
      <c r="S283" s="2" t="str">
        <f aca="false">IF(P283*L283&gt;J283,"Yes","No")</f>
        <v>No</v>
      </c>
      <c r="T283" s="2" t="s">
        <v>171</v>
      </c>
    </row>
    <row r="284" customFormat="false" ht="15" hidden="false" customHeight="false" outlineLevel="0" collapsed="false">
      <c r="A284" s="2" t="n">
        <v>283</v>
      </c>
      <c r="B284" s="2" t="s">
        <v>378</v>
      </c>
      <c r="C284" s="2" t="s">
        <v>155</v>
      </c>
      <c r="D284" s="2" t="s">
        <v>148</v>
      </c>
      <c r="E284" s="2" t="s">
        <v>34</v>
      </c>
      <c r="F284" s="2" t="s">
        <v>22</v>
      </c>
      <c r="G284" s="9" t="n">
        <v>109879</v>
      </c>
      <c r="H284" s="9" t="n">
        <v>96852</v>
      </c>
      <c r="I284" s="9" t="n">
        <v>212438</v>
      </c>
      <c r="J284" s="10" t="n">
        <f aca="false">G284-H284</f>
        <v>13027</v>
      </c>
      <c r="K284" s="11" t="n">
        <f aca="false">J284/I284</f>
        <v>0.0613214208380798</v>
      </c>
      <c r="L284" s="11" t="n">
        <f aca="false">I284/N284</f>
        <v>0.756394736092517</v>
      </c>
      <c r="M284" s="4" t="n">
        <f aca="false">INDEX('Lok Sabha seats'!$E:$E,MATCH(D284,'Lok Sabha seats'!$A:$A,0))</f>
        <v>0.0349048133223317</v>
      </c>
      <c r="N284" s="9" t="n">
        <v>280856</v>
      </c>
      <c r="O284" s="15"/>
      <c r="P284" s="10" t="n">
        <f aca="false">IF(O284&lt;&gt;"",O284,ROUND(N284*M284/(1+M284),0))</f>
        <v>9473</v>
      </c>
      <c r="Q284" s="16" t="n">
        <f aca="false">P284/J284</f>
        <v>0.727182006601673</v>
      </c>
      <c r="R284" s="2" t="str">
        <f aca="false">IF(P284&gt;J284,"Yes","No")</f>
        <v>No</v>
      </c>
      <c r="S284" s="2" t="str">
        <f aca="false">IF(P284*L284&gt;J284,"Yes","No")</f>
        <v>No</v>
      </c>
      <c r="T284" s="2" t="s">
        <v>171</v>
      </c>
    </row>
    <row r="285" customFormat="false" ht="15" hidden="false" customHeight="false" outlineLevel="0" collapsed="false">
      <c r="A285" s="2" t="n">
        <v>284</v>
      </c>
      <c r="B285" s="2" t="s">
        <v>379</v>
      </c>
      <c r="C285" s="2" t="s">
        <v>155</v>
      </c>
      <c r="D285" s="2" t="s">
        <v>148</v>
      </c>
      <c r="E285" s="2" t="s">
        <v>17</v>
      </c>
      <c r="F285" s="2" t="s">
        <v>18</v>
      </c>
      <c r="G285" s="9" t="n">
        <v>130738</v>
      </c>
      <c r="H285" s="9" t="n">
        <v>108049</v>
      </c>
      <c r="I285" s="9" t="n">
        <v>243850</v>
      </c>
      <c r="J285" s="10" t="n">
        <f aca="false">G285-H285</f>
        <v>22689</v>
      </c>
      <c r="K285" s="11" t="n">
        <f aca="false">J285/I285</f>
        <v>0.0930449046545007</v>
      </c>
      <c r="L285" s="11" t="n">
        <f aca="false">I285/N285</f>
        <v>0.794268627936367</v>
      </c>
      <c r="M285" s="4" t="n">
        <f aca="false">INDEX('Lok Sabha seats'!$E:$E,MATCH(D285,'Lok Sabha seats'!$A:$A,0))</f>
        <v>0.0349048133223317</v>
      </c>
      <c r="N285" s="9" t="n">
        <v>307012</v>
      </c>
      <c r="O285" s="15"/>
      <c r="P285" s="10" t="n">
        <f aca="false">IF(O285&lt;&gt;"",O285,ROUND(N285*M285/(1+M285),0))</f>
        <v>10355</v>
      </c>
      <c r="Q285" s="16" t="n">
        <f aca="false">P285/J285</f>
        <v>0.456388558332231</v>
      </c>
      <c r="R285" s="2" t="str">
        <f aca="false">IF(P285&gt;J285,"Yes","No")</f>
        <v>No</v>
      </c>
      <c r="S285" s="2" t="str">
        <f aca="false">IF(P285*L285&gt;J285,"Yes","No")</f>
        <v>No</v>
      </c>
      <c r="T285" s="2" t="s">
        <v>171</v>
      </c>
    </row>
    <row r="286" customFormat="false" ht="15" hidden="false" customHeight="false" outlineLevel="0" collapsed="false">
      <c r="A286" s="2" t="n">
        <v>285</v>
      </c>
      <c r="B286" s="2" t="s">
        <v>380</v>
      </c>
      <c r="C286" s="2" t="s">
        <v>155</v>
      </c>
      <c r="D286" s="2" t="s">
        <v>155</v>
      </c>
      <c r="E286" s="2" t="s">
        <v>21</v>
      </c>
      <c r="F286" s="2" t="s">
        <v>22</v>
      </c>
      <c r="G286" s="9" t="n">
        <v>130769</v>
      </c>
      <c r="H286" s="9" t="n">
        <v>100705</v>
      </c>
      <c r="I286" s="9" t="n">
        <v>234010</v>
      </c>
      <c r="J286" s="10" t="n">
        <f aca="false">G286-H286</f>
        <v>30064</v>
      </c>
      <c r="K286" s="11" t="n">
        <f aca="false">J286/I286</f>
        <v>0.128473142173411</v>
      </c>
      <c r="L286" s="11" t="n">
        <f aca="false">I286/N286</f>
        <v>0.799034370667814</v>
      </c>
      <c r="M286" s="4" t="n">
        <f aca="false">INDEX('Lok Sabha seats'!$E:$E,MATCH(D286,'Lok Sabha seats'!$A:$A,0))</f>
        <v>0.0428348751240516</v>
      </c>
      <c r="N286" s="9" t="n">
        <v>292866</v>
      </c>
      <c r="O286" s="15"/>
      <c r="P286" s="10" t="n">
        <f aca="false">IF(O286&lt;&gt;"",O286,ROUND(N286*M286/(1+M286),0))</f>
        <v>12030</v>
      </c>
      <c r="Q286" s="16" t="n">
        <f aca="false">P286/J286</f>
        <v>0.400146354443853</v>
      </c>
      <c r="R286" s="2" t="str">
        <f aca="false">IF(P286&gt;J286,"Yes","No")</f>
        <v>No</v>
      </c>
      <c r="S286" s="2" t="str">
        <f aca="false">IF(P286*L286&gt;J286,"Yes","No")</f>
        <v>No</v>
      </c>
      <c r="T286" s="2" t="s">
        <v>171</v>
      </c>
    </row>
    <row r="287" customFormat="false" ht="15" hidden="false" customHeight="false" outlineLevel="0" collapsed="false">
      <c r="A287" s="2" t="n">
        <v>286</v>
      </c>
      <c r="B287" s="2" t="s">
        <v>381</v>
      </c>
      <c r="C287" s="2" t="s">
        <v>155</v>
      </c>
      <c r="D287" s="2" t="s">
        <v>155</v>
      </c>
      <c r="E287" s="2" t="s">
        <v>27</v>
      </c>
      <c r="F287" s="2" t="s">
        <v>18</v>
      </c>
      <c r="G287" s="9" t="n">
        <v>153892</v>
      </c>
      <c r="H287" s="9" t="n">
        <v>75711</v>
      </c>
      <c r="I287" s="9" t="n">
        <v>251685</v>
      </c>
      <c r="J287" s="10" t="n">
        <f aca="false">G287-H287</f>
        <v>78181</v>
      </c>
      <c r="K287" s="11" t="n">
        <f aca="false">J287/I287</f>
        <v>0.310630351431353</v>
      </c>
      <c r="L287" s="11" t="n">
        <f aca="false">I287/N287</f>
        <v>0.717059453668988</v>
      </c>
      <c r="M287" s="4" t="n">
        <f aca="false">INDEX('Lok Sabha seats'!$E:$E,MATCH(D287,'Lok Sabha seats'!$A:$A,0))</f>
        <v>0.0428348751240516</v>
      </c>
      <c r="N287" s="9" t="n">
        <v>350996</v>
      </c>
      <c r="O287" s="15"/>
      <c r="P287" s="10" t="n">
        <f aca="false">IF(O287&lt;&gt;"",O287,ROUND(N287*M287/(1+M287),0))</f>
        <v>14417</v>
      </c>
      <c r="Q287" s="16" t="n">
        <f aca="false">P287/J287</f>
        <v>0.184405418196237</v>
      </c>
      <c r="R287" s="2" t="str">
        <f aca="false">IF(P287&gt;J287,"Yes","No")</f>
        <v>No</v>
      </c>
      <c r="S287" s="2" t="str">
        <f aca="false">IF(P287*L287&gt;J287,"Yes","No")</f>
        <v>No</v>
      </c>
      <c r="T287" s="2" t="s">
        <v>171</v>
      </c>
    </row>
    <row r="288" customFormat="false" ht="15" hidden="false" customHeight="false" outlineLevel="0" collapsed="false">
      <c r="A288" s="2" t="n">
        <v>287</v>
      </c>
      <c r="B288" s="2" t="s">
        <v>382</v>
      </c>
      <c r="C288" s="2" t="s">
        <v>155</v>
      </c>
      <c r="D288" s="2" t="s">
        <v>155</v>
      </c>
      <c r="E288" s="2" t="s">
        <v>34</v>
      </c>
      <c r="F288" s="2" t="s">
        <v>22</v>
      </c>
      <c r="G288" s="9" t="n">
        <v>128403</v>
      </c>
      <c r="H288" s="9" t="n">
        <v>100759</v>
      </c>
      <c r="I288" s="9" t="n">
        <v>237382</v>
      </c>
      <c r="J288" s="10" t="n">
        <f aca="false">G288-H288</f>
        <v>27644</v>
      </c>
      <c r="K288" s="11" t="n">
        <f aca="false">J288/I288</f>
        <v>0.116453648549595</v>
      </c>
      <c r="L288" s="11" t="n">
        <f aca="false">I288/N288</f>
        <v>0.759170541693584</v>
      </c>
      <c r="M288" s="4" t="n">
        <f aca="false">INDEX('Lok Sabha seats'!$E:$E,MATCH(D288,'Lok Sabha seats'!$A:$A,0))</f>
        <v>0.0428348751240516</v>
      </c>
      <c r="N288" s="9" t="n">
        <v>312686</v>
      </c>
      <c r="O288" s="15"/>
      <c r="P288" s="10" t="n">
        <f aca="false">IF(O288&lt;&gt;"",O288,ROUND(N288*M288/(1+M288),0))</f>
        <v>12844</v>
      </c>
      <c r="Q288" s="16" t="n">
        <f aca="false">P288/J288</f>
        <v>0.464621617710896</v>
      </c>
      <c r="R288" s="2" t="str">
        <f aca="false">IF(P288&gt;J288,"Yes","No")</f>
        <v>No</v>
      </c>
      <c r="S288" s="2" t="str">
        <f aca="false">IF(P288*L288&gt;J288,"Yes","No")</f>
        <v>No</v>
      </c>
      <c r="T288" s="2" t="s">
        <v>171</v>
      </c>
    </row>
    <row r="289" customFormat="false" ht="15" hidden="false" customHeight="false" outlineLevel="0" collapsed="false">
      <c r="A289" s="2" t="n">
        <v>288</v>
      </c>
      <c r="B289" s="2" t="s">
        <v>383</v>
      </c>
      <c r="C289" s="2" t="s">
        <v>155</v>
      </c>
      <c r="D289" s="2" t="s">
        <v>155</v>
      </c>
      <c r="E289" s="2" t="s">
        <v>17</v>
      </c>
      <c r="F289" s="2" t="s">
        <v>18</v>
      </c>
      <c r="G289" s="9" t="n">
        <v>113737</v>
      </c>
      <c r="H289" s="9" t="n">
        <v>75497</v>
      </c>
      <c r="I289" s="9" t="n">
        <v>213041</v>
      </c>
      <c r="J289" s="10" t="n">
        <f aca="false">G289-H289</f>
        <v>38240</v>
      </c>
      <c r="K289" s="11" t="n">
        <f aca="false">J289/I289</f>
        <v>0.179495965565314</v>
      </c>
      <c r="L289" s="11" t="n">
        <f aca="false">I289/N289</f>
        <v>0.73118755641588</v>
      </c>
      <c r="M289" s="4" t="n">
        <f aca="false">INDEX('Lok Sabha seats'!$E:$E,MATCH(D289,'Lok Sabha seats'!$A:$A,0))</f>
        <v>0.0428348751240516</v>
      </c>
      <c r="N289" s="9" t="n">
        <v>291363</v>
      </c>
      <c r="O289" s="15"/>
      <c r="P289" s="10" t="n">
        <f aca="false">IF(O289&lt;&gt;"",O289,ROUND(N289*M289/(1+M289),0))</f>
        <v>11968</v>
      </c>
      <c r="Q289" s="16" t="n">
        <f aca="false">P289/J289</f>
        <v>0.312970711297071</v>
      </c>
      <c r="R289" s="2" t="str">
        <f aca="false">IF(P289&gt;J289,"Yes","No")</f>
        <v>No</v>
      </c>
      <c r="S289" s="2" t="str">
        <f aca="false">IF(P289*L289&gt;J289,"Yes","No")</f>
        <v>No</v>
      </c>
      <c r="T289" s="2" t="s">
        <v>171</v>
      </c>
    </row>
  </sheetData>
  <autoFilter ref="A1:T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7" t="s">
        <v>384</v>
      </c>
    </row>
    <row r="2" customFormat="false" ht="15" hidden="false" customHeight="false" outlineLevel="0" collapsed="false">
      <c r="A2" s="18"/>
    </row>
    <row r="3" customFormat="false" ht="15" hidden="false" customHeight="false" outlineLevel="0" collapsed="false">
      <c r="A3" s="18" t="s">
        <v>385</v>
      </c>
    </row>
    <row r="4" customFormat="false" ht="15" hidden="false" customHeight="false" outlineLevel="0" collapsed="false">
      <c r="A4" s="18"/>
    </row>
    <row r="5" customFormat="false" ht="15" hidden="false" customHeight="false" outlineLevel="0" collapsed="false">
      <c r="A5" s="19" t="s">
        <v>386</v>
      </c>
    </row>
    <row r="6" customFormat="false" ht="15" hidden="false" customHeight="false" outlineLevel="0" collapsed="false">
      <c r="A6" s="18" t="s">
        <v>387</v>
      </c>
    </row>
    <row r="7" customFormat="false" ht="15" hidden="false" customHeight="false" outlineLevel="0" collapsed="false">
      <c r="A7" s="18" t="s">
        <v>388</v>
      </c>
    </row>
    <row r="8" customFormat="false" ht="23.85" hidden="false" customHeight="false" outlineLevel="0" collapsed="false">
      <c r="A8" s="18" t="s">
        <v>389</v>
      </c>
    </row>
    <row r="9" customFormat="false" ht="15" hidden="false" customHeight="false" outlineLevel="0" collapsed="false">
      <c r="A9" s="18" t="s">
        <v>390</v>
      </c>
    </row>
    <row r="10" customFormat="false" ht="15" hidden="false" customHeight="false" outlineLevel="0" collapsed="false">
      <c r="A10" s="18"/>
    </row>
    <row r="11" customFormat="false" ht="15" hidden="false" customHeight="false" outlineLevel="0" collapsed="false">
      <c r="A11" s="19" t="s">
        <v>391</v>
      </c>
    </row>
    <row r="12" customFormat="false" ht="15" hidden="false" customHeight="false" outlineLevel="0" collapsed="false">
      <c r="A12" s="18" t="s">
        <v>392</v>
      </c>
    </row>
    <row r="13" customFormat="false" ht="23.85" hidden="false" customHeight="false" outlineLevel="0" collapsed="false">
      <c r="A13" s="18" t="s">
        <v>393</v>
      </c>
    </row>
    <row r="14" customFormat="false" ht="15" hidden="false" customHeight="false" outlineLevel="0" collapsed="false">
      <c r="A14" s="18"/>
    </row>
    <row r="15" customFormat="false" ht="15" hidden="false" customHeight="false" outlineLevel="0" collapsed="false">
      <c r="A15" s="19" t="s">
        <v>394</v>
      </c>
    </row>
    <row r="16" customFormat="false" ht="23.85" hidden="false" customHeight="false" outlineLevel="0" collapsed="false">
      <c r="A16" s="18" t="s">
        <v>395</v>
      </c>
    </row>
    <row r="17" customFormat="false" ht="23.85" hidden="false" customHeight="false" outlineLevel="0" collapsed="false">
      <c r="A17" s="18" t="s">
        <v>396</v>
      </c>
    </row>
    <row r="18" customFormat="false" ht="23.85" hidden="false" customHeight="false" outlineLevel="0" collapsed="false">
      <c r="A18" s="18" t="s">
        <v>397</v>
      </c>
    </row>
    <row r="19" customFormat="false" ht="23.85" hidden="false" customHeight="false" outlineLevel="0" collapsed="false">
      <c r="A19" s="18" t="s">
        <v>398</v>
      </c>
    </row>
    <row r="20" customFormat="false" ht="23.85" hidden="false" customHeight="false" outlineLevel="0" collapsed="false">
      <c r="A20" s="18" t="s">
        <v>399</v>
      </c>
    </row>
    <row r="21" customFormat="false" ht="15" hidden="false" customHeight="false" outlineLevel="0" collapsed="false">
      <c r="A21" s="18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2026-10-11T16:43:48Z</dcterms:created>
  <dc:creator>openpyxl</dc:creator>
  <dc:description/>
  <dc:language>en-US</dc:language>
  <cp:lastModifiedBy/>
  <dcterms:modified xsi:type="dcterms:W3CDTF">2026-10-11T16:43:48Z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